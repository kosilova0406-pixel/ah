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/>
  <mc:AlternateContent xmlns:mc="http://schemas.openxmlformats.org/markup-compatibility/2006">
    <mc:Choice Requires="x15">
      <x15ac:absPath xmlns:x15ac="http://schemas.microsoft.com/office/spreadsheetml/2010/11/ac" url="N:\Market Segment Foodservice\01_Team\Olga Kosilova\Potential calculations\"/>
    </mc:Choice>
  </mc:AlternateContent>
  <xr:revisionPtr revIDLastSave="0" documentId="13_ncr:1_{3F30453A-3E08-4C0C-864C-01CDC5D639CD}" xr6:coauthVersionLast="47" xr6:coauthVersionMax="47" xr10:uidLastSave="{00000000-0000-0000-0000-000000000000}"/>
  <bookViews>
    <workbookView xWindow="-28920" yWindow="1035" windowWidth="29040" windowHeight="15840" activeTab="4" xr2:uid="{00000000-000D-0000-FFFF-FFFF00000000}"/>
  </bookViews>
  <sheets>
    <sheet name="Cover Sheet" sheetId="12" r:id="rId1"/>
    <sheet name="Brand Share GBN" sheetId="14" r:id="rId2"/>
    <sheet name="Brand Share LBNL" sheetId="15" r:id="rId3"/>
    <sheet name="Reference Sheet" sheetId="16" r:id="rId4"/>
    <sheet name="Sheet1" sheetId="17" r:id="rId5"/>
  </sheets>
  <definedNames>
    <definedName name="_xlnm._FilterDatabase" localSheetId="1" hidden="1">'Brand Share GBN'!$A$3:$E$3</definedName>
    <definedName name="_xlnm._FilterDatabase" localSheetId="2" hidden="1">'Brand Share LBNL'!$A$3:$AR$3</definedName>
    <definedName name="_xlnm._FilterDatabase" localSheetId="3" hidden="1">'Reference Sheet'!$A$3:$F$3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7" l="1"/>
  <c r="K9" i="17" s="1"/>
  <c r="L9" i="17" s="1"/>
  <c r="M9" i="17" s="1"/>
  <c r="I9" i="17"/>
  <c r="J6" i="17"/>
  <c r="I6" i="17"/>
  <c r="U6" i="17" s="1"/>
  <c r="V6" i="17" s="1"/>
  <c r="W6" i="17" s="1"/>
  <c r="X6" i="17" s="1"/>
  <c r="J5" i="17"/>
  <c r="I5" i="17"/>
  <c r="J4" i="17"/>
  <c r="I4" i="17"/>
  <c r="U4" i="17" s="1"/>
  <c r="V4" i="17" s="1"/>
  <c r="W4" i="17" s="1"/>
  <c r="X4" i="17" s="1"/>
  <c r="J3" i="17"/>
  <c r="I3" i="17"/>
  <c r="U3" i="17" s="1"/>
  <c r="V3" i="17" s="1"/>
  <c r="W3" i="17" s="1"/>
  <c r="X3" i="17" s="1"/>
  <c r="U5" i="17" l="1"/>
  <c r="V5" i="17" s="1"/>
  <c r="W5" i="17" s="1"/>
  <c r="X5" i="17" s="1"/>
  <c r="N3" i="17"/>
  <c r="O3" i="17" s="1"/>
  <c r="P3" i="17" s="1"/>
  <c r="K3" i="17"/>
  <c r="N4" i="17"/>
  <c r="O4" i="17" s="1"/>
  <c r="P4" i="17" s="1"/>
  <c r="K4" i="17"/>
  <c r="L4" i="17" s="1"/>
  <c r="M4" i="17" s="1"/>
  <c r="Q4" i="17"/>
  <c r="R4" i="17" s="1"/>
  <c r="S4" i="17" s="1"/>
  <c r="T4" i="17" s="1"/>
  <c r="N5" i="17"/>
  <c r="O5" i="17" s="1"/>
  <c r="P5" i="17" s="1"/>
  <c r="Q5" i="17"/>
  <c r="K5" i="17"/>
  <c r="K6" i="17"/>
  <c r="L6" i="17" s="1"/>
  <c r="M6" i="17" s="1"/>
  <c r="Q6" i="17"/>
  <c r="N6" i="17"/>
  <c r="L3" i="17"/>
  <c r="M3" i="17" s="1"/>
  <c r="Q3" i="17"/>
  <c r="R3" i="17" l="1"/>
  <c r="S3" i="17" s="1"/>
  <c r="T3" i="17" s="1"/>
  <c r="O6" i="17"/>
  <c r="P6" i="17" s="1"/>
  <c r="R6" i="17"/>
  <c r="S6" i="17" s="1"/>
  <c r="T6" i="17" s="1"/>
  <c r="L5" i="17"/>
  <c r="M5" i="17" s="1"/>
  <c r="R5" i="17"/>
  <c r="S5" i="17" s="1"/>
  <c r="T5" i="1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Grinder</author>
  </authors>
  <commentList>
    <comment ref="J2" authorId="0" shapeId="0" xr:uid="{00000000-0006-0000-0200-000001000000}">
      <text>
        <r>
          <rPr>
            <b/>
            <sz val="9"/>
            <color indexed="81"/>
            <rFont val="Tahoma"/>
            <charset val="1"/>
          </rPr>
          <t>Shows category level (0 = market, 1 = category, 2 = subcategory,
etc.)</t>
        </r>
      </text>
    </comment>
  </commentList>
</comments>
</file>

<file path=xl/sharedStrings.xml><?xml version="1.0" encoding="utf-8"?>
<sst xmlns="http://schemas.openxmlformats.org/spreadsheetml/2006/main" count="2841" uniqueCount="363">
  <si>
    <t>Geographies</t>
  </si>
  <si>
    <t>Categories</t>
  </si>
  <si>
    <t>extracted</t>
  </si>
  <si>
    <t>Measures</t>
  </si>
  <si>
    <t>Account Management</t>
  </si>
  <si>
    <t>Region</t>
  </si>
  <si>
    <t>Country</t>
  </si>
  <si>
    <t>Industry</t>
  </si>
  <si>
    <t>Edition</t>
  </si>
  <si>
    <t>Category</t>
  </si>
  <si>
    <t>Subcategory (indented)</t>
  </si>
  <si>
    <t>Subcategory</t>
  </si>
  <si>
    <t>ProductId</t>
  </si>
  <si>
    <t>Lowest Level</t>
  </si>
  <si>
    <t>Hierarchy level</t>
  </si>
  <si>
    <t>Data Type</t>
  </si>
  <si>
    <t>Global Brand Name</t>
  </si>
  <si>
    <t>Global Brand Owner</t>
  </si>
  <si>
    <t>2018 (%)</t>
  </si>
  <si>
    <t>2019 (%)</t>
  </si>
  <si>
    <t>2020 (%)</t>
  </si>
  <si>
    <t>2021 (%)</t>
  </si>
  <si>
    <t>2022 (%)</t>
  </si>
  <si>
    <t>2023 (%)</t>
  </si>
  <si>
    <t>Current/Constant</t>
  </si>
  <si>
    <t>Currency Conversion</t>
  </si>
  <si>
    <t>Unit</t>
  </si>
  <si>
    <t>Unit 2018</t>
  </si>
  <si>
    <t>Unit 2019</t>
  </si>
  <si>
    <t>Unit 2020</t>
  </si>
  <si>
    <t>Unit 2021</t>
  </si>
  <si>
    <t>Unit 2022</t>
  </si>
  <si>
    <t>Unit 2023</t>
  </si>
  <si>
    <t>Rank 2018</t>
  </si>
  <si>
    <t>Rank 2019</t>
  </si>
  <si>
    <t>Rank 2020</t>
  </si>
  <si>
    <t>Rank 2021</t>
  </si>
  <si>
    <t>Rank 2022</t>
  </si>
  <si>
    <t>Rank 2023</t>
  </si>
  <si>
    <t>North America</t>
  </si>
  <si>
    <t>USA</t>
  </si>
  <si>
    <t>Consumer Foodservice</t>
  </si>
  <si>
    <t>Consumer Foodservice by Type</t>
  </si>
  <si>
    <t xml:space="preserve">  Chained Consumer Foodservice</t>
  </si>
  <si>
    <t>Chained Consumer Foodservice</t>
  </si>
  <si>
    <t>no</t>
  </si>
  <si>
    <t>Foodservice Value RSP</t>
  </si>
  <si>
    <t>McDonald's</t>
  </si>
  <si>
    <t>McDonald's Corp</t>
  </si>
  <si>
    <t>Current Prices</t>
  </si>
  <si>
    <t>Local Currency</t>
  </si>
  <si>
    <t>USD million</t>
  </si>
  <si>
    <t>Year-on-Year Exchange Rates</t>
  </si>
  <si>
    <t>EUR million</t>
  </si>
  <si>
    <t>Starbucks</t>
  </si>
  <si>
    <t>Starbucks Corp</t>
  </si>
  <si>
    <t>Chick-fil-A</t>
  </si>
  <si>
    <t>CFA Properties Inc</t>
  </si>
  <si>
    <t>Taco Bell</t>
  </si>
  <si>
    <t>Yum! Brands Inc</t>
  </si>
  <si>
    <t>Wendy's</t>
  </si>
  <si>
    <t>Wendy's Co, The</t>
  </si>
  <si>
    <t>Dunkin'</t>
  </si>
  <si>
    <t>Inspire Brands Inc</t>
  </si>
  <si>
    <t>Subway</t>
  </si>
  <si>
    <t>Doctor's Associates Inc</t>
  </si>
  <si>
    <t>Burger King</t>
  </si>
  <si>
    <t>Restaurant Brands International Inc</t>
  </si>
  <si>
    <t>Chipotle Mexican Grill</t>
  </si>
  <si>
    <t>Chipotle Mexican Grill Inc</t>
  </si>
  <si>
    <t>Domino's Pizza</t>
  </si>
  <si>
    <t>Domino's Pizza Inc</t>
  </si>
  <si>
    <t>Panera Bread Co</t>
  </si>
  <si>
    <t>Sonic Drive-In</t>
  </si>
  <si>
    <t>Pizza Hut</t>
  </si>
  <si>
    <t>Popeyes</t>
  </si>
  <si>
    <t>Panda Express</t>
  </si>
  <si>
    <t>Panda Restaurant Group Inc</t>
  </si>
  <si>
    <t>Little Caesar's Pizza</t>
  </si>
  <si>
    <t>Ilitch Holdings Inc</t>
  </si>
  <si>
    <t>Olive Garden</t>
  </si>
  <si>
    <t>Darden Restaurants Inc</t>
  </si>
  <si>
    <t>KFC</t>
  </si>
  <si>
    <t>Arby's</t>
  </si>
  <si>
    <t>Dairy Queen</t>
  </si>
  <si>
    <t>International Dairy Queen Inc</t>
  </si>
  <si>
    <t>Applebee's Neighborhood Grill &amp; Bar</t>
  </si>
  <si>
    <t>DineEquity Inc</t>
  </si>
  <si>
    <t>Denny's</t>
  </si>
  <si>
    <t>Denny's Corp</t>
  </si>
  <si>
    <t>7-Eleven</t>
  </si>
  <si>
    <t>Seven &amp; I Holdings Co Ltd</t>
  </si>
  <si>
    <t>Jack in the Box</t>
  </si>
  <si>
    <t>Jack in the Box Inc</t>
  </si>
  <si>
    <t>Wawa</t>
  </si>
  <si>
    <t>Wawa Inc</t>
  </si>
  <si>
    <t>Texas Roadhouse</t>
  </si>
  <si>
    <t>Texas Roadhouse Corp</t>
  </si>
  <si>
    <t>Chili's Grill &amp; Bar</t>
  </si>
  <si>
    <t>Brinker International Inc</t>
  </si>
  <si>
    <t>Buffalo Wild Wings</t>
  </si>
  <si>
    <t>Papa John's</t>
  </si>
  <si>
    <t>Papa John's International Inc</t>
  </si>
  <si>
    <t>IHOP</t>
  </si>
  <si>
    <t>Whataburger</t>
  </si>
  <si>
    <t>Whataburger Inc</t>
  </si>
  <si>
    <t>Raising Cane's Chicken Fingers</t>
  </si>
  <si>
    <t>Raising Restaurants LLC</t>
  </si>
  <si>
    <t>Wingstop</t>
  </si>
  <si>
    <t>Wingstop Restaurants, Inc</t>
  </si>
  <si>
    <t>Outback Steakhouse</t>
  </si>
  <si>
    <t>Bloomin' Brands Inc</t>
  </si>
  <si>
    <t>Longhorn Steakhouse</t>
  </si>
  <si>
    <t>Jersey Mike's Subs</t>
  </si>
  <si>
    <t>Jersey Mike's Franchise Systems Inc</t>
  </si>
  <si>
    <t>Cracker Barrel Old Country Store</t>
  </si>
  <si>
    <t>Cracker Barrel Old Country Store Inc</t>
  </si>
  <si>
    <t>Culver's</t>
  </si>
  <si>
    <t>Culver's Franchising System Inc</t>
  </si>
  <si>
    <t>Circle K</t>
  </si>
  <si>
    <t>Alimentation Couche-Tard Inc</t>
  </si>
  <si>
    <t>Jimmy John's Gourmet Sandwiches</t>
  </si>
  <si>
    <t>Jimmy John's Franchise, LLC</t>
  </si>
  <si>
    <t>The Cheesecake Factory</t>
  </si>
  <si>
    <t>Cheesecake Factory Inc, The</t>
  </si>
  <si>
    <t>Hardee's</t>
  </si>
  <si>
    <t>CKE Restaurants Holdings Inc</t>
  </si>
  <si>
    <t>Zaxby's</t>
  </si>
  <si>
    <t>Zaxby's Operating Co LP</t>
  </si>
  <si>
    <t>Five Guys</t>
  </si>
  <si>
    <t>Five Guys Enterprises LLC</t>
  </si>
  <si>
    <t>Red Lobster</t>
  </si>
  <si>
    <t>Red Lobster Hospitality LLC</t>
  </si>
  <si>
    <t>Speedway</t>
  </si>
  <si>
    <t>Carl's Jr</t>
  </si>
  <si>
    <t>Bojangles</t>
  </si>
  <si>
    <t>Bojangles OpCo LLC</t>
  </si>
  <si>
    <t>QuikTrip</t>
  </si>
  <si>
    <t>QuikTrip Corp</t>
  </si>
  <si>
    <t>Red Robin Gourmet Burger</t>
  </si>
  <si>
    <t>Red Robin Gourmet Burger Inc</t>
  </si>
  <si>
    <t>In-N-Out Burger</t>
  </si>
  <si>
    <t>In-N-Out Burgers</t>
  </si>
  <si>
    <t>Casey's General Stores</t>
  </si>
  <si>
    <t>Casey's General Stores Inc</t>
  </si>
  <si>
    <t>Dutch Bros</t>
  </si>
  <si>
    <t>Dutch Bros Inc</t>
  </si>
  <si>
    <t>BJ's Restaurant &amp; Brewery</t>
  </si>
  <si>
    <t>BJ's Restaurants Inc</t>
  </si>
  <si>
    <t>Golden Corral</t>
  </si>
  <si>
    <t>Golden Corral Corp</t>
  </si>
  <si>
    <t>Krispy Kreme</t>
  </si>
  <si>
    <t>Krispy Kreme Doughnut Corp</t>
  </si>
  <si>
    <t>TGI Fridays</t>
  </si>
  <si>
    <t>TGI Fridays Inc</t>
  </si>
  <si>
    <t>Firehouse Subs</t>
  </si>
  <si>
    <t>Shake Shack</t>
  </si>
  <si>
    <t>Union Square Hospitality Group</t>
  </si>
  <si>
    <t>McAlister's Deli</t>
  </si>
  <si>
    <t>McAlister's Corp</t>
  </si>
  <si>
    <t>Tropical Smoothie Café</t>
  </si>
  <si>
    <t>Costco</t>
  </si>
  <si>
    <t>Costco Wholesale Corp</t>
  </si>
  <si>
    <t>Del Taco</t>
  </si>
  <si>
    <t>Del Taco Inc</t>
  </si>
  <si>
    <t>Waffle House</t>
  </si>
  <si>
    <t>Waffle House Inc</t>
  </si>
  <si>
    <t>Qdoba</t>
  </si>
  <si>
    <t>PF Chang's China Bistro</t>
  </si>
  <si>
    <t>PF Chang's China Bistro Inc</t>
  </si>
  <si>
    <t>Tim Hortons</t>
  </si>
  <si>
    <t>Church's Chicken</t>
  </si>
  <si>
    <t>Cajun Operating Co</t>
  </si>
  <si>
    <t>Hooters</t>
  </si>
  <si>
    <t>Hooters of America Inc</t>
  </si>
  <si>
    <t>Auntie Anne's</t>
  </si>
  <si>
    <t>Focus Brands Inc</t>
  </si>
  <si>
    <t>Papa Murphy's Take 'N' Bake Pizza</t>
  </si>
  <si>
    <t>Papa Murphy's International LLC</t>
  </si>
  <si>
    <t>Cheddar's Scratch Kitchen</t>
  </si>
  <si>
    <t>Sheetz</t>
  </si>
  <si>
    <t>Sheetz Inc</t>
  </si>
  <si>
    <t>Carrabba's Italian Grill</t>
  </si>
  <si>
    <t>Yardhouse</t>
  </si>
  <si>
    <t>Jamba Juice</t>
  </si>
  <si>
    <t>Jamba Inc</t>
  </si>
  <si>
    <t>Moe's Southwest Grill</t>
  </si>
  <si>
    <t>Bob Evans</t>
  </si>
  <si>
    <t>Bob Evans Farms Inc</t>
  </si>
  <si>
    <t>Baskin-Robbins</t>
  </si>
  <si>
    <t>MOD Pizza</t>
  </si>
  <si>
    <t>MOD Super Fast Pizza Holdings LLC</t>
  </si>
  <si>
    <t>Cava</t>
  </si>
  <si>
    <t>Cava Group Inc</t>
  </si>
  <si>
    <t>Smoothie King</t>
  </si>
  <si>
    <t>Smoothie King Franchises Inc</t>
  </si>
  <si>
    <t>Noodles &amp; Co</t>
  </si>
  <si>
    <t>Capital Grill &amp; Bar</t>
  </si>
  <si>
    <t>Potbelly Sandwich Shop</t>
  </si>
  <si>
    <t>Potbelly Sandwich Works</t>
  </si>
  <si>
    <t>Captain D's Seafood</t>
  </si>
  <si>
    <t>Captain D's Inc</t>
  </si>
  <si>
    <t>Einstein Bros Bagels</t>
  </si>
  <si>
    <t>Einstein/Noah Bagel Corp</t>
  </si>
  <si>
    <t>Perkins</t>
  </si>
  <si>
    <t>Perkins &amp; Marie Callender's Inc</t>
  </si>
  <si>
    <t>California Pizza Kitchen</t>
  </si>
  <si>
    <t>California Pizza Kitchen Inc</t>
  </si>
  <si>
    <t>Blaze Pizza</t>
  </si>
  <si>
    <t>Blaze Pizza LLC</t>
  </si>
  <si>
    <t>Cold Stone Creamery</t>
  </si>
  <si>
    <t>Kahala Corp</t>
  </si>
  <si>
    <t>Logan's Roadhouse</t>
  </si>
  <si>
    <t>Logan's Roadhouse Inc</t>
  </si>
  <si>
    <t>Schlotzsky's</t>
  </si>
  <si>
    <t>Taco John's</t>
  </si>
  <si>
    <t>Taco John's International Inc</t>
  </si>
  <si>
    <t>Maggiano's</t>
  </si>
  <si>
    <t>Boston Market</t>
  </si>
  <si>
    <t>Boston Market Corp</t>
  </si>
  <si>
    <t>Peet's Coffee &amp; Tea</t>
  </si>
  <si>
    <t>JDE Peet's BV</t>
  </si>
  <si>
    <t>Benihana</t>
  </si>
  <si>
    <t>Benihana Inc</t>
  </si>
  <si>
    <t>On the Border</t>
  </si>
  <si>
    <t>OTB Acquisition LLC</t>
  </si>
  <si>
    <t>CiCi's Pizza</t>
  </si>
  <si>
    <t>CiCi's Enterprises Inc</t>
  </si>
  <si>
    <t>Caribou Coffee</t>
  </si>
  <si>
    <t>Caribou Coffee Operating Co Inc</t>
  </si>
  <si>
    <t>Ruby Tuesday</t>
  </si>
  <si>
    <t>Ruby Tuesday Inc</t>
  </si>
  <si>
    <t>Cinnabon</t>
  </si>
  <si>
    <t>Long John Silver's</t>
  </si>
  <si>
    <t>LJS Partners LLC</t>
  </si>
  <si>
    <t>Sam's Café</t>
  </si>
  <si>
    <t>Walmart Inc</t>
  </si>
  <si>
    <t>Pei Wei</t>
  </si>
  <si>
    <t>Corner Bakery Cafe</t>
  </si>
  <si>
    <t>CBC Restaurant Corp</t>
  </si>
  <si>
    <t>A&amp;W</t>
  </si>
  <si>
    <t>A Great American Brand, LLC</t>
  </si>
  <si>
    <t>Sbarro</t>
  </si>
  <si>
    <t>Sbarro LLC</t>
  </si>
  <si>
    <t>AMPM</t>
  </si>
  <si>
    <t>BP Plc</t>
  </si>
  <si>
    <t>Barnes &amp; Noble</t>
  </si>
  <si>
    <t>Barnes &amp; Noble Inc</t>
  </si>
  <si>
    <t>Au Bon Pain</t>
  </si>
  <si>
    <t>ABP Corp</t>
  </si>
  <si>
    <t>Bruegger's</t>
  </si>
  <si>
    <t>Bruegger's Enterprises Inc</t>
  </si>
  <si>
    <t>Carvel</t>
  </si>
  <si>
    <t>Togo's Eatery</t>
  </si>
  <si>
    <t>Togo's Franchised Eateries LLC</t>
  </si>
  <si>
    <t>Quiznos</t>
  </si>
  <si>
    <t>Quiznos Corp</t>
  </si>
  <si>
    <t>TCBY</t>
  </si>
  <si>
    <t>Mrs Fields' Original Cookies Inc</t>
  </si>
  <si>
    <t>Blimpie</t>
  </si>
  <si>
    <t>Food Avenue</t>
  </si>
  <si>
    <t>Target Corp</t>
  </si>
  <si>
    <t>Zoe's Kitchen</t>
  </si>
  <si>
    <t>Firehouse Restaurant Group, Inc</t>
  </si>
  <si>
    <t>Caribou Coffee Co Inc</t>
  </si>
  <si>
    <t>Dunkin' Brands Group Inc</t>
  </si>
  <si>
    <t>Peet's Coffee &amp; Tea Inc</t>
  </si>
  <si>
    <t>Dunkin' Donuts</t>
  </si>
  <si>
    <t>The Coffee Bean &amp; Tea Leaf</t>
  </si>
  <si>
    <t>International Coffee &amp; Tea LLC</t>
  </si>
  <si>
    <t>Sonic Corp</t>
  </si>
  <si>
    <t>Buffalo Wild Wings Inc</t>
  </si>
  <si>
    <t>Arby's Restaurant Group Inc (ARG)</t>
  </si>
  <si>
    <t>Popeyes Louisiana Kitchen Inc</t>
  </si>
  <si>
    <t>Romano's Macaroni Grill</t>
  </si>
  <si>
    <t>Ignite Restaurant Group</t>
  </si>
  <si>
    <t>Others</t>
  </si>
  <si>
    <t>Total</t>
  </si>
  <si>
    <t>© Euromonitor International Ltd 2024</t>
  </si>
  <si>
    <t>Local Brand Name</t>
  </si>
  <si>
    <t>National Brand Owner</t>
  </si>
  <si>
    <t>Various franchisees</t>
  </si>
  <si>
    <t>Burger King Worldwide Inc</t>
  </si>
  <si>
    <t>Popeyes Famous Fried Chicken</t>
  </si>
  <si>
    <t>AFC Enterprises Inc</t>
  </si>
  <si>
    <t>Panda Management Co Inc</t>
  </si>
  <si>
    <t>Little Caesar Enterprises Inc</t>
  </si>
  <si>
    <t>American Dairy Queen Corp</t>
  </si>
  <si>
    <t>7-Eleven Inc</t>
  </si>
  <si>
    <t>IHOP Corp</t>
  </si>
  <si>
    <t>Outback Steakhouse Inc</t>
  </si>
  <si>
    <t>Circle K Stores Inc</t>
  </si>
  <si>
    <t>5 Guys Inc</t>
  </si>
  <si>
    <t>Shake Shack Inc</t>
  </si>
  <si>
    <t>Auntie Anne's Inc</t>
  </si>
  <si>
    <t>Sun Capital Partners Inc</t>
  </si>
  <si>
    <t>Cinnabon LLC</t>
  </si>
  <si>
    <t>Pei Wei Asian Diner Inc</t>
  </si>
  <si>
    <t>Coffee Bean &amp; Tea Leaf</t>
  </si>
  <si>
    <t>Jollibee Foods Corp</t>
  </si>
  <si>
    <t>Macaroni Grill LLC</t>
  </si>
  <si>
    <t>RedRock Partners LLC</t>
  </si>
  <si>
    <t>CategoryId</t>
  </si>
  <si>
    <t>Category level 0</t>
  </si>
  <si>
    <t>Category level 1</t>
  </si>
  <si>
    <t>Category level 2</t>
  </si>
  <si>
    <t>Consumer Foodservice 2024</t>
  </si>
  <si>
    <t>Tuesday, July 30, 2024</t>
  </si>
  <si>
    <t>Brand Share GBN</t>
  </si>
  <si>
    <t>Brand Share LBNL</t>
  </si>
  <si>
    <t>Reference Sheet</t>
  </si>
  <si>
    <t xml:space="preserve">  USA</t>
  </si>
  <si>
    <t xml:space="preserve">    Chained Consumer Foodservice</t>
  </si>
  <si>
    <t>Euromonitor Americas</t>
  </si>
  <si>
    <t>Lauren Ducoli</t>
  </si>
  <si>
    <t>Account Manager</t>
  </si>
  <si>
    <t>+1 (312) 477 8334</t>
  </si>
  <si>
    <t>Lauren.Ducoli@Euromonitor.com</t>
  </si>
  <si>
    <t>Euromonitor Asia</t>
  </si>
  <si>
    <t>David Liu</t>
  </si>
  <si>
    <t>+(86 21) 603 21088</t>
  </si>
  <si>
    <t>david.liu@Euromonitor.com</t>
  </si>
  <si>
    <t>Euromonitor Europe</t>
  </si>
  <si>
    <t>Manuel Leckel</t>
  </si>
  <si>
    <t>Key Account Manager</t>
  </si>
  <si>
    <t>+49 211 89094443</t>
  </si>
  <si>
    <t>Manuel.Leckel@Euromonitor.com</t>
  </si>
  <si>
    <t>Mikael Omberg</t>
  </si>
  <si>
    <t>Client Consultant</t>
  </si>
  <si>
    <t>Mikael.Omberg@Euromonitor.com</t>
  </si>
  <si>
    <t>Monika Szelazek</t>
  </si>
  <si>
    <t>+370 5 243 1577</t>
  </si>
  <si>
    <t>Monika.Szelazek@Euromonitor.com</t>
  </si>
  <si>
    <t>Euromonitor Middle East and Africa</t>
  </si>
  <si>
    <t>Melissa VanDerLinde</t>
  </si>
  <si>
    <t>+27 21 524 3000</t>
  </si>
  <si>
    <t>Melissa.vanderlinde@Euromonitor.com</t>
  </si>
  <si>
    <t>Ahmed Elkhodiry</t>
  </si>
  <si>
    <t>+971 4 372 4363</t>
  </si>
  <si>
    <t>Ahmed.Elkhodiry@Euromonitor.com</t>
  </si>
  <si>
    <t>Copyright © and database right Euromonitor International 2024. This document is strictly copyright.  Reproduction or distribution in any form whatsoever without express written permission from Euromonitor International Ltd is prohibited.</t>
  </si>
  <si>
    <t>Value RSP in EU mln</t>
  </si>
  <si>
    <t>Food in %</t>
  </si>
  <si>
    <t>Beverages in %</t>
  </si>
  <si>
    <t>Potential in food value</t>
  </si>
  <si>
    <t>Potential in drinks in EU</t>
  </si>
  <si>
    <t>Core soda's value EU</t>
  </si>
  <si>
    <t>Core soda volume in to</t>
  </si>
  <si>
    <t>RTD syrup for core drinks in to</t>
  </si>
  <si>
    <t>Hot drinks EU</t>
  </si>
  <si>
    <t>Milk shakes EU</t>
  </si>
  <si>
    <t>Milk shakes volume in to</t>
  </si>
  <si>
    <t>Syrups volume for milk shakes in to</t>
  </si>
  <si>
    <t>Ice cream in value</t>
  </si>
  <si>
    <t>Ice cream with toppings volume in to</t>
  </si>
  <si>
    <t>Toppings for ice cream in to</t>
  </si>
  <si>
    <t>Account number</t>
  </si>
  <si>
    <t>Doehler sales 2023 in 000 EU</t>
  </si>
  <si>
    <t xml:space="preserve">Doehler product categories </t>
  </si>
  <si>
    <t>Lemonades/splashes in EU</t>
  </si>
  <si>
    <t>Lemonades/splashes in to</t>
  </si>
  <si>
    <t>Lemonade syrups</t>
  </si>
  <si>
    <t>Ice cream  volume in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</si>
</sst>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9" x14ac:knownFonts="1">
    <font>
      <sz val="11"/>
      <color theme="1"/>
      <name val="Arial"/>
      <family val="2"/>
    </font>
    <font>
      <sz val="10"/>
      <color indexed="8"/>
      <name val="Arial"/>
      <family val="2"/>
    </font>
    <font>
      <b/>
      <sz val="20"/>
      <color indexed="40"/>
      <name val="Arial"/>
      <family val="2"/>
    </font>
    <font>
      <b/>
      <sz val="10"/>
      <color indexed="8"/>
      <name val="Arial"/>
      <family val="2"/>
    </font>
    <font>
      <sz val="8"/>
      <color indexed="54"/>
      <name val="Arial"/>
      <family val="2"/>
    </font>
    <font>
      <sz val="20"/>
      <color rgb="FF5D87A0"/>
      <name val="Arial"/>
      <family val="2"/>
    </font>
    <font>
      <sz val="8"/>
      <color rgb="FF5D87A0"/>
      <name val="Arial"/>
      <family val="2"/>
    </font>
    <font>
      <sz val="10"/>
      <color rgb="FF595959"/>
      <name val="Arial"/>
      <family val="2"/>
    </font>
    <font>
      <b/>
      <sz val="10"/>
      <color rgb="FF595959"/>
      <name val="Arial"/>
      <family val="2"/>
    </font>
    <font>
      <sz val="10"/>
      <color theme="1"/>
      <name val="Arial"/>
      <family val="2"/>
    </font>
    <font>
      <sz val="20"/>
      <color indexed="40"/>
      <name val="Arial"/>
      <family val="2"/>
    </font>
    <font>
      <b/>
      <sz val="10"/>
      <color rgb="FFFFFFFF"/>
      <name val="Arial"/>
      <family val="2"/>
    </font>
    <font>
      <b/>
      <sz val="9"/>
      <color indexed="81"/>
      <name val="Tahoma"/>
      <charset val="1"/>
    </font>
    <font>
      <u/>
      <sz val="11"/>
      <color theme="10"/>
      <name val="Arial"/>
      <family val="2"/>
    </font>
    <font>
      <sz val="11"/>
      <color theme="0"/>
      <name val="Arial"/>
      <family val="2"/>
    </font>
    <font>
      <sz val="10"/>
      <color theme="0"/>
      <name val="Arial"/>
      <family val="2"/>
    </font>
    <font>
      <sz val="12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5D87A1"/>
        <bgColor indexed="64"/>
      </patternFill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39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/>
    <xf numFmtId="0" fontId="7" fillId="0" borderId="0" xfId="0" applyFont="1" applyAlignment="1">
      <alignment horizontal="left" vertical="top" wrapText="1"/>
    </xf>
    <xf numFmtId="0" fontId="6" fillId="0" borderId="0" xfId="0" applyFont="1" applyAlignment="1"/>
    <xf numFmtId="15" fontId="5" fillId="0" borderId="0" xfId="0" applyNumberFormat="1" applyFont="1" applyAlignment="1">
      <alignment horizontal="left" vertical="center"/>
    </xf>
    <xf numFmtId="0" fontId="8" fillId="0" borderId="0" xfId="0" applyFont="1"/>
    <xf numFmtId="0" fontId="7" fillId="0" borderId="0" xfId="0" applyFont="1"/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 applyAlignment="1"/>
    <xf numFmtId="0" fontId="1" fillId="0" borderId="0" xfId="0" applyFont="1" applyAlignment="1">
      <alignment vertical="top" wrapText="1"/>
    </xf>
    <xf numFmtId="0" fontId="6" fillId="0" borderId="0" xfId="0" applyFont="1" applyAlignment="1"/>
    <xf numFmtId="15" fontId="5" fillId="0" borderId="0" xfId="0" applyNumberFormat="1" applyFont="1" applyAlignment="1">
      <alignment horizontal="left" vertical="center"/>
    </xf>
    <xf numFmtId="0" fontId="8" fillId="0" borderId="0" xfId="0" applyFont="1"/>
    <xf numFmtId="0" fontId="7" fillId="0" borderId="0" xfId="0" applyFont="1"/>
    <xf numFmtId="0" fontId="7" fillId="0" borderId="0" xfId="0" applyFont="1" applyBorder="1"/>
    <xf numFmtId="0" fontId="7" fillId="2" borderId="0" xfId="0" applyFont="1" applyFill="1"/>
    <xf numFmtId="0" fontId="9" fillId="0" borderId="0" xfId="0" applyFont="1"/>
    <xf numFmtId="0" fontId="10" fillId="0" borderId="0" xfId="0" applyFont="1"/>
    <xf numFmtId="0" fontId="7" fillId="2" borderId="0" xfId="0" applyFont="1" applyFill="1" applyAlignment="1">
      <alignment horizontal="right"/>
    </xf>
    <xf numFmtId="164" fontId="7" fillId="0" borderId="0" xfId="0" applyNumberFormat="1" applyFont="1" applyAlignment="1">
      <alignment horizontal="right"/>
    </xf>
    <xf numFmtId="3" fontId="7" fillId="0" borderId="0" xfId="0" applyNumberFormat="1" applyFont="1" applyAlignment="1">
      <alignment horizontal="right"/>
    </xf>
    <xf numFmtId="0" fontId="11" fillId="3" borderId="0" xfId="0" applyFont="1" applyFill="1"/>
    <xf numFmtId="0" fontId="11" fillId="3" borderId="0" xfId="0" applyFont="1" applyFill="1" applyAlignment="1">
      <alignment horizontal="right"/>
    </xf>
    <xf numFmtId="0" fontId="13" fillId="0" borderId="0" xfId="1"/>
    <xf numFmtId="0" fontId="7" fillId="0" borderId="0" xfId="0" applyFont="1" applyAlignment="1">
      <alignment horizontal="left" vertical="top" wrapText="1"/>
    </xf>
    <xf numFmtId="0" fontId="14" fillId="0" borderId="0" xfId="0" applyFont="1" applyAlignment="1">
      <alignment horizontal="center" vertical="center" wrapText="1"/>
    </xf>
    <xf numFmtId="0" fontId="14" fillId="4" borderId="0" xfId="0" applyFont="1" applyFill="1" applyAlignment="1">
      <alignment horizontal="center" vertical="center" wrapText="1"/>
    </xf>
    <xf numFmtId="0" fontId="15" fillId="4" borderId="0" xfId="0" applyFont="1" applyFill="1" applyAlignment="1">
      <alignment horizontal="center" vertical="center" wrapText="1"/>
    </xf>
    <xf numFmtId="0" fontId="16" fillId="4" borderId="0" xfId="0" applyFont="1" applyFill="1" applyAlignment="1">
      <alignment horizontal="center" vertical="center" wrapText="1"/>
    </xf>
    <xf numFmtId="3" fontId="17" fillId="0" borderId="0" xfId="0" applyNumberFormat="1" applyFont="1" applyAlignment="1">
      <alignment horizontal="center" vertical="center" wrapText="1"/>
    </xf>
    <xf numFmtId="3" fontId="18" fillId="0" borderId="0" xfId="0" applyNumberFormat="1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5D87A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595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euromonitor.com/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://www.euromonitor.com/passport/" TargetMode="External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#'Cover Sheet'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#'Cover Sheet'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#'Cover Sheet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676275</xdr:colOff>
      <xdr:row>2</xdr:row>
      <xdr:rowOff>133350</xdr:rowOff>
    </xdr:from>
    <xdr:to>
      <xdr:col>3</xdr:col>
      <xdr:colOff>2300287</xdr:colOff>
      <xdr:row>7</xdr:row>
      <xdr:rowOff>0</xdr:rowOff>
    </xdr:to>
    <xdr:pic>
      <xdr:nvPicPr>
        <xdr:cNvPr id="4" name="Picture 1">
          <a:hlinkClick xmlns:r="http://schemas.openxmlformats.org/officeDocument/2006/relationships" r:id="rId1" tooltip="Click here to learn more about Passport...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495300"/>
          <a:ext cx="3648075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91211</xdr:colOff>
      <xdr:row>4</xdr:row>
      <xdr:rowOff>23812</xdr:rowOff>
    </xdr:from>
    <xdr:to>
      <xdr:col>11</xdr:col>
      <xdr:colOff>251689</xdr:colOff>
      <xdr:row>6</xdr:row>
      <xdr:rowOff>9524</xdr:rowOff>
    </xdr:to>
    <xdr:pic>
      <xdr:nvPicPr>
        <xdr:cNvPr id="5" name="Picture 2">
          <a:hlinkClick xmlns:r="http://schemas.openxmlformats.org/officeDocument/2006/relationships" r:id="rId3" tooltip="Click here to learn more about Euromonitor...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076461" y="722312"/>
          <a:ext cx="2192478" cy="3349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161925</xdr:rowOff>
    </xdr:from>
    <xdr:to>
      <xdr:col>1</xdr:col>
      <xdr:colOff>1723750</xdr:colOff>
      <xdr:row>0</xdr:row>
      <xdr:rowOff>661840</xdr:rowOff>
    </xdr:to>
    <xdr:pic>
      <xdr:nvPicPr>
        <xdr:cNvPr id="2" name="Picture 1">
          <a:hlinkClick xmlns:r="http://schemas.openxmlformats.org/officeDocument/2006/relationships" r:id="rId1" tooltip="Click here to go back to the cover sheet...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61925"/>
          <a:ext cx="2316681" cy="4999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161925</xdr:rowOff>
    </xdr:from>
    <xdr:to>
      <xdr:col>1</xdr:col>
      <xdr:colOff>375963</xdr:colOff>
      <xdr:row>0</xdr:row>
      <xdr:rowOff>661840</xdr:rowOff>
    </xdr:to>
    <xdr:pic>
      <xdr:nvPicPr>
        <xdr:cNvPr id="2" name="Picture 1">
          <a:hlinkClick xmlns:r="http://schemas.openxmlformats.org/officeDocument/2006/relationships" r:id="rId1" tooltip="Click here to go back to the cover sheet...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61925"/>
          <a:ext cx="2316681" cy="4999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161925</xdr:rowOff>
    </xdr:from>
    <xdr:to>
      <xdr:col>1</xdr:col>
      <xdr:colOff>375963</xdr:colOff>
      <xdr:row>0</xdr:row>
      <xdr:rowOff>661840</xdr:rowOff>
    </xdr:to>
    <xdr:pic>
      <xdr:nvPicPr>
        <xdr:cNvPr id="2" name="Picture 1">
          <a:hlinkClick xmlns:r="http://schemas.openxmlformats.org/officeDocument/2006/relationships" r:id="rId1" tooltip="Click here to go back to the cover sheet...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61925"/>
          <a:ext cx="2316681" cy="4999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7"/>
  <sheetViews>
    <sheetView showGridLines="0" zoomScale="80" zoomScaleNormal="80" workbookViewId="0">
      <selection activeCell="P76" sqref="P76"/>
    </sheetView>
  </sheetViews>
  <sheetFormatPr defaultRowHeight="14.25" x14ac:dyDescent="0.2"/>
  <cols>
    <col min="3" max="3" width="8.625" customWidth="1"/>
    <col min="4" max="4" width="35.625" customWidth="1"/>
    <col min="5" max="5" width="12.125" bestFit="1" customWidth="1"/>
    <col min="6" max="6" width="27.5" bestFit="1" customWidth="1"/>
  </cols>
  <sheetData>
    <row r="1" spans="1:9" x14ac:dyDescent="0.2">
      <c r="A1" s="3"/>
      <c r="B1" s="3"/>
      <c r="C1" s="3"/>
      <c r="D1" s="3"/>
      <c r="E1" s="3"/>
      <c r="F1" s="3"/>
      <c r="G1" s="3"/>
    </row>
    <row r="2" spans="1:9" x14ac:dyDescent="0.2">
      <c r="A2" s="3"/>
      <c r="B2" s="3"/>
      <c r="C2" s="3"/>
      <c r="D2" s="3"/>
      <c r="E2" s="3"/>
      <c r="F2" s="3"/>
      <c r="G2" s="3"/>
    </row>
    <row r="3" spans="1:9" x14ac:dyDescent="0.2">
      <c r="A3" s="3"/>
      <c r="B3" s="3"/>
      <c r="C3" s="3"/>
      <c r="D3" s="3"/>
      <c r="E3" s="3"/>
      <c r="F3" s="3"/>
      <c r="G3" s="3"/>
    </row>
    <row r="4" spans="1:9" x14ac:dyDescent="0.2">
      <c r="A4" s="3"/>
      <c r="B4" s="3"/>
      <c r="C4" s="3"/>
      <c r="D4" s="3"/>
      <c r="E4" s="3"/>
      <c r="F4" s="3"/>
      <c r="G4" s="3"/>
    </row>
    <row r="5" spans="1:9" x14ac:dyDescent="0.2">
      <c r="A5" s="3"/>
      <c r="B5" s="3"/>
      <c r="C5" s="3"/>
      <c r="D5" s="3"/>
      <c r="E5" s="3"/>
      <c r="F5" s="3"/>
      <c r="G5" s="3"/>
    </row>
    <row r="6" spans="1:9" x14ac:dyDescent="0.2">
      <c r="A6" s="3"/>
      <c r="B6" s="3"/>
      <c r="C6" s="3"/>
      <c r="D6" s="3"/>
      <c r="E6" s="3"/>
      <c r="F6" s="3"/>
      <c r="G6" s="3"/>
    </row>
    <row r="7" spans="1:9" x14ac:dyDescent="0.2">
      <c r="A7" s="3"/>
      <c r="B7" s="3"/>
      <c r="C7" s="3"/>
      <c r="D7" s="3"/>
      <c r="E7" s="3"/>
      <c r="F7" s="3"/>
      <c r="G7" s="3"/>
    </row>
    <row r="8" spans="1:9" x14ac:dyDescent="0.2">
      <c r="A8" s="3"/>
      <c r="B8" s="3"/>
      <c r="C8" s="3"/>
      <c r="D8" s="3"/>
      <c r="E8" s="3"/>
      <c r="F8" s="3"/>
      <c r="G8" s="3"/>
    </row>
    <row r="9" spans="1:9" x14ac:dyDescent="0.2">
      <c r="A9" s="3"/>
      <c r="B9" s="3"/>
      <c r="C9" s="3"/>
      <c r="D9" s="3"/>
      <c r="E9" s="3"/>
      <c r="F9" s="3"/>
      <c r="G9" s="3"/>
    </row>
    <row r="10" spans="1:9" x14ac:dyDescent="0.2">
      <c r="A10" s="3"/>
      <c r="B10" s="3"/>
      <c r="C10" s="3"/>
      <c r="D10" s="3"/>
      <c r="E10" s="3"/>
      <c r="F10" s="3"/>
      <c r="G10" s="3"/>
    </row>
    <row r="11" spans="1:9" ht="26.25" x14ac:dyDescent="0.4">
      <c r="A11" s="3"/>
      <c r="B11" s="3"/>
      <c r="C11" s="5"/>
      <c r="D11" s="25" t="s">
        <v>306</v>
      </c>
      <c r="E11" s="13"/>
      <c r="F11" s="13"/>
      <c r="G11" s="13"/>
    </row>
    <row r="12" spans="1:9" s="13" customFormat="1" ht="26.25" x14ac:dyDescent="0.4">
      <c r="C12" s="5"/>
      <c r="D12" s="25"/>
    </row>
    <row r="13" spans="1:9" x14ac:dyDescent="0.2">
      <c r="A13" s="3"/>
      <c r="B13" s="3"/>
      <c r="C13" s="7"/>
      <c r="D13" s="16"/>
      <c r="E13" s="13"/>
      <c r="F13" s="13"/>
      <c r="G13" s="13"/>
    </row>
    <row r="14" spans="1:9" x14ac:dyDescent="0.2">
      <c r="A14" s="3"/>
      <c r="B14" s="3"/>
      <c r="C14" s="9"/>
      <c r="D14" s="18" t="s">
        <v>2</v>
      </c>
      <c r="E14" s="13"/>
      <c r="F14" s="13"/>
      <c r="G14" s="13"/>
    </row>
    <row r="15" spans="1:9" ht="25.5" x14ac:dyDescent="0.2">
      <c r="A15" s="3"/>
      <c r="B15" s="3"/>
      <c r="C15" s="10"/>
      <c r="D15" s="19" t="s">
        <v>307</v>
      </c>
      <c r="E15" s="13"/>
      <c r="F15" s="13"/>
      <c r="I15" s="19" t="s">
        <v>4</v>
      </c>
    </row>
    <row r="16" spans="1:9" ht="15" customHeight="1" x14ac:dyDescent="0.2">
      <c r="A16" s="3"/>
      <c r="B16" s="3"/>
      <c r="C16" s="6"/>
      <c r="D16" s="15"/>
      <c r="E16" s="15"/>
      <c r="F16" s="15"/>
      <c r="G16" s="14"/>
    </row>
    <row r="17" spans="1:12" ht="20.25" customHeight="1" x14ac:dyDescent="0.2">
      <c r="A17" s="3"/>
      <c r="B17" s="3"/>
      <c r="C17" s="11"/>
      <c r="D17" s="20" t="s">
        <v>3</v>
      </c>
      <c r="E17" s="20" t="s">
        <v>0</v>
      </c>
      <c r="F17" s="20" t="s">
        <v>1</v>
      </c>
      <c r="G17" s="22"/>
      <c r="I17" s="20" t="s">
        <v>313</v>
      </c>
      <c r="J17" s="24"/>
      <c r="K17" s="24"/>
      <c r="L17" s="24"/>
    </row>
    <row r="18" spans="1:12" x14ac:dyDescent="0.2">
      <c r="A18" s="3"/>
      <c r="B18" s="3"/>
      <c r="C18" s="12"/>
      <c r="D18" s="31" t="s">
        <v>308</v>
      </c>
      <c r="E18" s="21" t="s">
        <v>311</v>
      </c>
      <c r="F18" s="21" t="s">
        <v>312</v>
      </c>
      <c r="G18" s="22"/>
      <c r="I18" s="21" t="s">
        <v>314</v>
      </c>
      <c r="J18" s="24"/>
      <c r="K18" s="24"/>
      <c r="L18" s="24"/>
    </row>
    <row r="19" spans="1:12" s="13" customFormat="1" x14ac:dyDescent="0.2">
      <c r="C19" s="21"/>
      <c r="D19" s="31" t="s">
        <v>309</v>
      </c>
      <c r="E19" s="21"/>
      <c r="F19" s="21"/>
      <c r="G19" s="22"/>
      <c r="I19" s="21" t="s">
        <v>315</v>
      </c>
      <c r="J19" s="24"/>
      <c r="K19" s="24"/>
      <c r="L19" s="24"/>
    </row>
    <row r="20" spans="1:12" s="13" customFormat="1" x14ac:dyDescent="0.2">
      <c r="C20" s="21"/>
      <c r="D20" s="31" t="s">
        <v>310</v>
      </c>
      <c r="E20" s="21"/>
      <c r="F20" s="21"/>
      <c r="G20" s="22"/>
      <c r="I20" s="21" t="s">
        <v>316</v>
      </c>
      <c r="J20" s="24"/>
      <c r="K20" s="24"/>
      <c r="L20" s="24"/>
    </row>
    <row r="21" spans="1:12" s="13" customFormat="1" x14ac:dyDescent="0.2">
      <c r="C21" s="21"/>
      <c r="E21" s="21"/>
      <c r="F21" s="21"/>
      <c r="G21" s="22"/>
      <c r="I21" s="21" t="s">
        <v>317</v>
      </c>
      <c r="J21" s="24"/>
      <c r="K21" s="24"/>
      <c r="L21" s="24"/>
    </row>
    <row r="22" spans="1:12" s="1" customFormat="1" ht="12.75" x14ac:dyDescent="0.2">
      <c r="A22" s="4"/>
      <c r="B22" s="4"/>
      <c r="C22" s="12"/>
      <c r="D22" s="21"/>
      <c r="E22" s="21"/>
      <c r="F22" s="21"/>
      <c r="G22" s="22"/>
      <c r="I22" s="21"/>
      <c r="J22" s="24"/>
      <c r="K22" s="24"/>
      <c r="L22" s="24"/>
    </row>
    <row r="23" spans="1:12" s="1" customFormat="1" ht="12.75" x14ac:dyDescent="0.2">
      <c r="A23" s="4"/>
      <c r="B23" s="4"/>
      <c r="C23" s="12"/>
      <c r="D23" s="21"/>
      <c r="E23" s="21"/>
      <c r="F23" s="21"/>
      <c r="G23" s="22"/>
      <c r="I23" s="20" t="s">
        <v>318</v>
      </c>
      <c r="J23" s="24"/>
      <c r="K23" s="24"/>
      <c r="L23" s="24"/>
    </row>
    <row r="24" spans="1:12" s="1" customFormat="1" ht="12.75" x14ac:dyDescent="0.2">
      <c r="A24" s="4"/>
      <c r="B24" s="4"/>
      <c r="C24" s="4"/>
      <c r="D24" s="14"/>
      <c r="E24" s="14"/>
      <c r="F24" s="14"/>
      <c r="G24" s="22"/>
      <c r="I24" s="21" t="s">
        <v>319</v>
      </c>
      <c r="J24" s="24"/>
      <c r="K24" s="24"/>
      <c r="L24" s="24"/>
    </row>
    <row r="25" spans="1:12" s="1" customFormat="1" ht="13.5" customHeight="1" x14ac:dyDescent="0.2">
      <c r="A25" s="4"/>
      <c r="B25" s="4"/>
      <c r="C25" s="8"/>
      <c r="D25" s="32" t="s">
        <v>340</v>
      </c>
      <c r="E25" s="32"/>
      <c r="F25" s="17"/>
      <c r="G25" s="22"/>
      <c r="I25" s="21" t="s">
        <v>315</v>
      </c>
      <c r="J25" s="24"/>
      <c r="K25" s="24"/>
      <c r="L25" s="24"/>
    </row>
    <row r="26" spans="1:12" s="1" customFormat="1" ht="12.75" x14ac:dyDescent="0.2">
      <c r="A26" s="4"/>
      <c r="B26" s="4"/>
      <c r="C26" s="8"/>
      <c r="D26" s="32"/>
      <c r="E26" s="32"/>
      <c r="F26" s="17"/>
      <c r="G26" s="22"/>
      <c r="I26" s="21" t="s">
        <v>320</v>
      </c>
      <c r="J26" s="24"/>
      <c r="K26" s="24"/>
      <c r="L26" s="24"/>
    </row>
    <row r="27" spans="1:12" s="1" customFormat="1" ht="12.75" x14ac:dyDescent="0.2">
      <c r="A27" s="4"/>
      <c r="B27" s="4"/>
      <c r="C27" s="8"/>
      <c r="D27" s="32"/>
      <c r="E27" s="32"/>
      <c r="F27" s="17"/>
      <c r="G27" s="22"/>
      <c r="I27" s="21" t="s">
        <v>321</v>
      </c>
      <c r="J27" s="24"/>
      <c r="K27" s="24"/>
      <c r="L27" s="24"/>
    </row>
    <row r="28" spans="1:12" s="1" customFormat="1" ht="15" customHeight="1" x14ac:dyDescent="0.2">
      <c r="A28" s="4"/>
      <c r="B28" s="4"/>
      <c r="C28" s="8"/>
      <c r="D28" s="32"/>
      <c r="E28" s="32"/>
      <c r="F28" s="17"/>
      <c r="G28" s="22"/>
      <c r="I28" s="21"/>
      <c r="J28" s="24"/>
      <c r="K28" s="24"/>
      <c r="L28" s="24"/>
    </row>
    <row r="29" spans="1:12" s="1" customFormat="1" ht="12.75" x14ac:dyDescent="0.2">
      <c r="A29" s="4"/>
      <c r="B29" s="4"/>
      <c r="C29" s="8"/>
      <c r="D29" s="32"/>
      <c r="E29" s="32"/>
      <c r="F29" s="17"/>
      <c r="G29" s="22"/>
      <c r="I29" s="20" t="s">
        <v>322</v>
      </c>
      <c r="J29" s="24"/>
      <c r="K29" s="24"/>
      <c r="L29" s="24"/>
    </row>
    <row r="30" spans="1:12" x14ac:dyDescent="0.2">
      <c r="A30" s="3"/>
      <c r="B30" s="3"/>
      <c r="C30" s="8"/>
      <c r="D30" s="32"/>
      <c r="E30" s="32"/>
      <c r="F30" s="17"/>
      <c r="G30" s="22"/>
      <c r="I30" s="21" t="s">
        <v>323</v>
      </c>
      <c r="J30" s="24"/>
      <c r="K30" s="24"/>
      <c r="L30" s="24"/>
    </row>
    <row r="31" spans="1:12" x14ac:dyDescent="0.2">
      <c r="A31" s="3"/>
      <c r="B31" s="3"/>
      <c r="C31" s="8"/>
      <c r="D31" s="32"/>
      <c r="E31" s="32"/>
      <c r="F31" s="17"/>
      <c r="G31" s="22"/>
      <c r="I31" s="21" t="s">
        <v>324</v>
      </c>
      <c r="J31" s="24"/>
      <c r="K31" s="24"/>
      <c r="L31" s="24"/>
    </row>
    <row r="32" spans="1:12" x14ac:dyDescent="0.2">
      <c r="A32" s="3"/>
      <c r="B32" s="3"/>
      <c r="C32" s="8"/>
      <c r="D32" s="32"/>
      <c r="E32" s="32"/>
      <c r="F32" s="17"/>
      <c r="G32" s="22"/>
      <c r="I32" s="21" t="s">
        <v>325</v>
      </c>
      <c r="J32" s="24"/>
      <c r="K32" s="24"/>
      <c r="L32" s="24"/>
    </row>
    <row r="33" spans="1:9" x14ac:dyDescent="0.2">
      <c r="A33" s="3"/>
      <c r="B33" s="3"/>
      <c r="C33" s="8"/>
      <c r="D33" s="32"/>
      <c r="E33" s="32"/>
      <c r="F33" s="17"/>
      <c r="G33" s="22"/>
      <c r="I33" s="21" t="s">
        <v>326</v>
      </c>
    </row>
    <row r="34" spans="1:9" x14ac:dyDescent="0.2">
      <c r="D34" s="2"/>
      <c r="E34" s="2"/>
      <c r="F34" s="2"/>
      <c r="G34" s="22"/>
      <c r="I34" s="21"/>
    </row>
    <row r="35" spans="1:9" x14ac:dyDescent="0.2">
      <c r="D35" s="2"/>
      <c r="E35" s="2"/>
      <c r="F35" s="2"/>
      <c r="G35" s="22"/>
      <c r="I35" s="21" t="s">
        <v>327</v>
      </c>
    </row>
    <row r="36" spans="1:9" x14ac:dyDescent="0.2">
      <c r="D36" s="2"/>
      <c r="E36" s="2"/>
      <c r="F36" s="2"/>
      <c r="G36" s="22"/>
      <c r="I36" s="21" t="s">
        <v>328</v>
      </c>
    </row>
    <row r="37" spans="1:9" x14ac:dyDescent="0.2">
      <c r="G37" s="22"/>
      <c r="I37" s="21" t="s">
        <v>325</v>
      </c>
    </row>
    <row r="38" spans="1:9" x14ac:dyDescent="0.2">
      <c r="G38" s="22"/>
      <c r="I38" s="21" t="s">
        <v>329</v>
      </c>
    </row>
    <row r="39" spans="1:9" x14ac:dyDescent="0.2">
      <c r="G39" s="22"/>
      <c r="I39" s="21"/>
    </row>
    <row r="40" spans="1:9" x14ac:dyDescent="0.2">
      <c r="G40" s="22"/>
      <c r="I40" s="21" t="s">
        <v>330</v>
      </c>
    </row>
    <row r="41" spans="1:9" x14ac:dyDescent="0.2">
      <c r="G41" s="22"/>
      <c r="I41" s="21" t="s">
        <v>315</v>
      </c>
    </row>
    <row r="42" spans="1:9" x14ac:dyDescent="0.2">
      <c r="G42" s="22"/>
      <c r="I42" s="21" t="s">
        <v>331</v>
      </c>
    </row>
    <row r="43" spans="1:9" x14ac:dyDescent="0.2">
      <c r="G43" s="22"/>
      <c r="I43" s="21" t="s">
        <v>332</v>
      </c>
    </row>
    <row r="44" spans="1:9" x14ac:dyDescent="0.2">
      <c r="G44" s="22"/>
      <c r="I44" s="21"/>
    </row>
    <row r="45" spans="1:9" x14ac:dyDescent="0.2">
      <c r="G45" s="22"/>
      <c r="I45" s="20" t="s">
        <v>333</v>
      </c>
    </row>
    <row r="46" spans="1:9" x14ac:dyDescent="0.2">
      <c r="G46" s="22"/>
      <c r="I46" s="21" t="s">
        <v>334</v>
      </c>
    </row>
    <row r="47" spans="1:9" x14ac:dyDescent="0.2">
      <c r="G47" s="22"/>
      <c r="I47" s="21" t="s">
        <v>315</v>
      </c>
    </row>
    <row r="48" spans="1:9" x14ac:dyDescent="0.2">
      <c r="G48" s="22"/>
      <c r="I48" s="21" t="s">
        <v>335</v>
      </c>
    </row>
    <row r="49" spans="7:9" x14ac:dyDescent="0.2">
      <c r="G49" s="22"/>
      <c r="I49" s="21" t="s">
        <v>336</v>
      </c>
    </row>
    <row r="50" spans="7:9" x14ac:dyDescent="0.2">
      <c r="G50" s="22"/>
      <c r="I50" s="21"/>
    </row>
    <row r="51" spans="7:9" x14ac:dyDescent="0.2">
      <c r="G51" s="22"/>
      <c r="I51" s="21" t="s">
        <v>337</v>
      </c>
    </row>
    <row r="52" spans="7:9" x14ac:dyDescent="0.2">
      <c r="G52" s="22"/>
      <c r="I52" s="21" t="s">
        <v>328</v>
      </c>
    </row>
    <row r="53" spans="7:9" x14ac:dyDescent="0.2">
      <c r="G53" s="22"/>
      <c r="I53" s="21" t="s">
        <v>338</v>
      </c>
    </row>
    <row r="54" spans="7:9" x14ac:dyDescent="0.2">
      <c r="G54" s="22"/>
      <c r="I54" s="21" t="s">
        <v>339</v>
      </c>
    </row>
    <row r="55" spans="7:9" x14ac:dyDescent="0.2">
      <c r="G55" s="22"/>
      <c r="I55" s="21"/>
    </row>
    <row r="56" spans="7:9" x14ac:dyDescent="0.2">
      <c r="G56" s="22"/>
      <c r="I56" s="21"/>
    </row>
    <row r="57" spans="7:9" x14ac:dyDescent="0.2">
      <c r="G57" s="22"/>
      <c r="I57" s="21"/>
    </row>
    <row r="58" spans="7:9" x14ac:dyDescent="0.2">
      <c r="G58" s="22"/>
      <c r="I58" s="21"/>
    </row>
    <row r="59" spans="7:9" x14ac:dyDescent="0.2">
      <c r="G59" s="22"/>
      <c r="I59" s="21"/>
    </row>
    <row r="60" spans="7:9" x14ac:dyDescent="0.2">
      <c r="G60" s="22"/>
      <c r="I60" s="21"/>
    </row>
    <row r="61" spans="7:9" x14ac:dyDescent="0.2">
      <c r="G61" s="22"/>
      <c r="I61" s="21"/>
    </row>
    <row r="62" spans="7:9" x14ac:dyDescent="0.2">
      <c r="G62" s="22"/>
      <c r="I62" s="21"/>
    </row>
    <row r="63" spans="7:9" x14ac:dyDescent="0.2">
      <c r="G63" s="22"/>
      <c r="I63" s="21"/>
    </row>
    <row r="64" spans="7:9" x14ac:dyDescent="0.2">
      <c r="G64" s="22"/>
      <c r="I64" s="21"/>
    </row>
    <row r="65" spans="7:9" x14ac:dyDescent="0.2">
      <c r="G65" s="22"/>
      <c r="I65" s="21"/>
    </row>
    <row r="66" spans="7:9" x14ac:dyDescent="0.2">
      <c r="G66" s="22"/>
      <c r="I66" s="21"/>
    </row>
    <row r="67" spans="7:9" x14ac:dyDescent="0.2">
      <c r="G67" s="22"/>
      <c r="I67" s="21"/>
    </row>
    <row r="68" spans="7:9" x14ac:dyDescent="0.2">
      <c r="G68" s="22"/>
      <c r="I68" s="21"/>
    </row>
    <row r="69" spans="7:9" x14ac:dyDescent="0.2">
      <c r="G69" s="22"/>
      <c r="I69" s="21"/>
    </row>
    <row r="70" spans="7:9" x14ac:dyDescent="0.2">
      <c r="G70" s="22"/>
      <c r="I70" s="21"/>
    </row>
    <row r="71" spans="7:9" x14ac:dyDescent="0.2">
      <c r="G71" s="22"/>
      <c r="I71" s="21"/>
    </row>
    <row r="72" spans="7:9" x14ac:dyDescent="0.2">
      <c r="G72" s="22"/>
      <c r="I72" s="21"/>
    </row>
    <row r="73" spans="7:9" x14ac:dyDescent="0.2">
      <c r="G73" s="22"/>
      <c r="I73" s="21"/>
    </row>
    <row r="74" spans="7:9" x14ac:dyDescent="0.2">
      <c r="G74" s="22"/>
      <c r="I74" s="21"/>
    </row>
    <row r="75" spans="7:9" x14ac:dyDescent="0.2">
      <c r="G75" s="22"/>
      <c r="I75" s="21"/>
    </row>
    <row r="76" spans="7:9" x14ac:dyDescent="0.2">
      <c r="G76" s="22"/>
      <c r="I76" s="21"/>
    </row>
    <row r="77" spans="7:9" x14ac:dyDescent="0.2">
      <c r="G77" s="22"/>
      <c r="I77" s="21"/>
    </row>
    <row r="78" spans="7:9" x14ac:dyDescent="0.2">
      <c r="G78" s="22"/>
      <c r="I78" s="21"/>
    </row>
    <row r="79" spans="7:9" x14ac:dyDescent="0.2">
      <c r="G79" s="22"/>
      <c r="I79" s="21"/>
    </row>
    <row r="80" spans="7:9" x14ac:dyDescent="0.2">
      <c r="G80" s="22"/>
      <c r="I80" s="21"/>
    </row>
    <row r="81" spans="7:9" x14ac:dyDescent="0.2">
      <c r="G81" s="22"/>
      <c r="I81" s="21"/>
    </row>
    <row r="82" spans="7:9" x14ac:dyDescent="0.2">
      <c r="G82" s="22"/>
      <c r="I82" s="21"/>
    </row>
    <row r="83" spans="7:9" x14ac:dyDescent="0.2">
      <c r="G83" s="22"/>
      <c r="I83" s="21"/>
    </row>
    <row r="84" spans="7:9" x14ac:dyDescent="0.2">
      <c r="G84" s="22"/>
      <c r="I84" s="21"/>
    </row>
    <row r="85" spans="7:9" x14ac:dyDescent="0.2">
      <c r="G85" s="22"/>
      <c r="I85" s="21"/>
    </row>
    <row r="86" spans="7:9" x14ac:dyDescent="0.2">
      <c r="G86" s="22"/>
      <c r="I86" s="21"/>
    </row>
    <row r="87" spans="7:9" x14ac:dyDescent="0.2">
      <c r="G87" s="22"/>
      <c r="I87" s="21"/>
    </row>
    <row r="88" spans="7:9" x14ac:dyDescent="0.2">
      <c r="G88" s="22"/>
      <c r="I88" s="21"/>
    </row>
    <row r="89" spans="7:9" x14ac:dyDescent="0.2">
      <c r="G89" s="22"/>
      <c r="I89" s="21"/>
    </row>
    <row r="90" spans="7:9" x14ac:dyDescent="0.2">
      <c r="G90" s="22"/>
      <c r="I90" s="21"/>
    </row>
    <row r="91" spans="7:9" x14ac:dyDescent="0.2">
      <c r="G91" s="22"/>
      <c r="I91" s="21"/>
    </row>
    <row r="92" spans="7:9" x14ac:dyDescent="0.2">
      <c r="G92" s="22"/>
      <c r="I92" s="21"/>
    </row>
    <row r="93" spans="7:9" x14ac:dyDescent="0.2">
      <c r="G93" s="22"/>
      <c r="I93" s="21"/>
    </row>
    <row r="94" spans="7:9" x14ac:dyDescent="0.2">
      <c r="G94" s="22"/>
      <c r="I94" s="21"/>
    </row>
    <row r="95" spans="7:9" x14ac:dyDescent="0.2">
      <c r="G95" s="22"/>
      <c r="I95" s="21"/>
    </row>
    <row r="96" spans="7:9" x14ac:dyDescent="0.2">
      <c r="G96" s="22"/>
      <c r="I96" s="21"/>
    </row>
    <row r="97" spans="7:9" x14ac:dyDescent="0.2">
      <c r="G97" s="22"/>
      <c r="I97" s="21"/>
    </row>
    <row r="98" spans="7:9" x14ac:dyDescent="0.2">
      <c r="G98" s="22"/>
      <c r="I98" s="21"/>
    </row>
    <row r="99" spans="7:9" x14ac:dyDescent="0.2">
      <c r="G99" s="22"/>
      <c r="I99" s="21"/>
    </row>
    <row r="100" spans="7:9" x14ac:dyDescent="0.2">
      <c r="G100" s="22"/>
      <c r="I100" s="21"/>
    </row>
    <row r="101" spans="7:9" x14ac:dyDescent="0.2">
      <c r="G101" s="22"/>
      <c r="I101" s="21"/>
    </row>
    <row r="102" spans="7:9" x14ac:dyDescent="0.2">
      <c r="G102" s="22"/>
      <c r="I102" s="21"/>
    </row>
    <row r="103" spans="7:9" x14ac:dyDescent="0.2">
      <c r="G103" s="22"/>
      <c r="I103" s="21"/>
    </row>
    <row r="104" spans="7:9" x14ac:dyDescent="0.2">
      <c r="G104" s="22"/>
      <c r="I104" s="21"/>
    </row>
    <row r="105" spans="7:9" x14ac:dyDescent="0.2">
      <c r="G105" s="22"/>
      <c r="I105" s="21"/>
    </row>
    <row r="106" spans="7:9" x14ac:dyDescent="0.2">
      <c r="G106" s="22"/>
      <c r="I106" s="21"/>
    </row>
    <row r="107" spans="7:9" x14ac:dyDescent="0.2">
      <c r="G107" s="22"/>
      <c r="I107" s="21"/>
    </row>
    <row r="108" spans="7:9" x14ac:dyDescent="0.2">
      <c r="G108" s="22"/>
      <c r="I108" s="21"/>
    </row>
    <row r="109" spans="7:9" x14ac:dyDescent="0.2">
      <c r="G109" s="22"/>
      <c r="I109" s="21"/>
    </row>
    <row r="110" spans="7:9" x14ac:dyDescent="0.2">
      <c r="G110" s="22"/>
      <c r="I110" s="21"/>
    </row>
    <row r="111" spans="7:9" x14ac:dyDescent="0.2">
      <c r="G111" s="22"/>
      <c r="I111" s="21"/>
    </row>
    <row r="112" spans="7:9" x14ac:dyDescent="0.2">
      <c r="G112" s="22"/>
      <c r="I112" s="21"/>
    </row>
    <row r="113" spans="7:9" x14ac:dyDescent="0.2">
      <c r="G113" s="22"/>
      <c r="I113" s="21"/>
    </row>
    <row r="114" spans="7:9" x14ac:dyDescent="0.2">
      <c r="G114" s="22"/>
      <c r="I114" s="21"/>
    </row>
    <row r="115" spans="7:9" x14ac:dyDescent="0.2">
      <c r="G115" s="22"/>
      <c r="I115" s="21"/>
    </row>
    <row r="116" spans="7:9" x14ac:dyDescent="0.2">
      <c r="G116" s="22"/>
      <c r="I116" s="21"/>
    </row>
    <row r="117" spans="7:9" x14ac:dyDescent="0.2">
      <c r="G117" s="22"/>
      <c r="I117" s="21"/>
    </row>
    <row r="118" spans="7:9" x14ac:dyDescent="0.2">
      <c r="G118" s="22"/>
      <c r="I118" s="21"/>
    </row>
    <row r="119" spans="7:9" x14ac:dyDescent="0.2">
      <c r="G119" s="22"/>
      <c r="I119" s="21"/>
    </row>
    <row r="120" spans="7:9" x14ac:dyDescent="0.2">
      <c r="G120" s="22"/>
      <c r="I120" s="21"/>
    </row>
    <row r="121" spans="7:9" x14ac:dyDescent="0.2">
      <c r="G121" s="22"/>
      <c r="I121" s="21"/>
    </row>
    <row r="122" spans="7:9" x14ac:dyDescent="0.2">
      <c r="G122" s="22"/>
      <c r="I122" s="21"/>
    </row>
    <row r="123" spans="7:9" x14ac:dyDescent="0.2">
      <c r="G123" s="22"/>
      <c r="I123" s="21"/>
    </row>
    <row r="124" spans="7:9" x14ac:dyDescent="0.2">
      <c r="G124" s="22"/>
      <c r="I124" s="21"/>
    </row>
    <row r="125" spans="7:9" x14ac:dyDescent="0.2">
      <c r="G125" s="22"/>
      <c r="I125" s="21"/>
    </row>
    <row r="126" spans="7:9" x14ac:dyDescent="0.2">
      <c r="G126" s="22"/>
      <c r="I126" s="21"/>
    </row>
    <row r="127" spans="7:9" x14ac:dyDescent="0.2">
      <c r="G127" s="22"/>
      <c r="I127" s="21"/>
    </row>
    <row r="128" spans="7:9" x14ac:dyDescent="0.2">
      <c r="G128" s="22"/>
      <c r="I128" s="21"/>
    </row>
    <row r="129" spans="7:9" x14ac:dyDescent="0.2">
      <c r="G129" s="22"/>
      <c r="I129" s="21"/>
    </row>
    <row r="130" spans="7:9" x14ac:dyDescent="0.2">
      <c r="G130" s="22"/>
      <c r="I130" s="21"/>
    </row>
    <row r="131" spans="7:9" x14ac:dyDescent="0.2">
      <c r="G131" s="22"/>
      <c r="I131" s="21"/>
    </row>
    <row r="132" spans="7:9" x14ac:dyDescent="0.2">
      <c r="I132" s="21"/>
    </row>
    <row r="133" spans="7:9" x14ac:dyDescent="0.2">
      <c r="I133" s="21"/>
    </row>
    <row r="134" spans="7:9" x14ac:dyDescent="0.2">
      <c r="I134" s="21"/>
    </row>
    <row r="135" spans="7:9" x14ac:dyDescent="0.2">
      <c r="I135" s="21"/>
    </row>
    <row r="136" spans="7:9" x14ac:dyDescent="0.2">
      <c r="I136" s="21"/>
    </row>
    <row r="137" spans="7:9" x14ac:dyDescent="0.2">
      <c r="I137" s="21"/>
    </row>
    <row r="138" spans="7:9" x14ac:dyDescent="0.2">
      <c r="I138" s="21"/>
    </row>
    <row r="139" spans="7:9" x14ac:dyDescent="0.2">
      <c r="I139" s="21"/>
    </row>
    <row r="140" spans="7:9" x14ac:dyDescent="0.2">
      <c r="I140" s="21"/>
    </row>
    <row r="141" spans="7:9" x14ac:dyDescent="0.2">
      <c r="I141" s="21"/>
    </row>
    <row r="142" spans="7:9" x14ac:dyDescent="0.2">
      <c r="I142" s="21"/>
    </row>
    <row r="143" spans="7:9" x14ac:dyDescent="0.2">
      <c r="I143" s="21"/>
    </row>
    <row r="144" spans="7:9" x14ac:dyDescent="0.2">
      <c r="I144" s="21"/>
    </row>
    <row r="145" spans="9:9" x14ac:dyDescent="0.2">
      <c r="I145" s="21"/>
    </row>
    <row r="146" spans="9:9" x14ac:dyDescent="0.2">
      <c r="I146" s="21"/>
    </row>
    <row r="147" spans="9:9" x14ac:dyDescent="0.2">
      <c r="I147" s="21"/>
    </row>
  </sheetData>
  <sheetProtection password="9850" sheet="1" objects="1" scenarios="1"/>
  <mergeCells count="1">
    <mergeCell ref="D25:E33"/>
  </mergeCells>
  <phoneticPr fontId="0" type="noConversion"/>
  <hyperlinks>
    <hyperlink ref="D18" location="'Brand Share GBN'!A1" display="'Brand Share GBN'!A1" xr:uid="{00000000-0004-0000-0000-000000000000}"/>
    <hyperlink ref="D19" location="'Brand Share LBNL'!A1" display="'Brand Share LBNL'!A1" xr:uid="{00000000-0004-0000-0000-000001000000}"/>
    <hyperlink ref="D20" location="'Reference Sheet'!A1" display="'Reference Sheet'!A1" xr:uid="{00000000-0004-0000-0000-000002000000}"/>
  </hyperlinks>
  <pageMargins left="0.38" right="0.38" top="0.75" bottom="0.75" header="0.3" footer="0.3"/>
  <pageSetup paperSize="9" orientation="landscape" r:id="rId1"/>
  <headerFooter>
    <oddHeader>&amp;L&amp;F&amp;RCover Sheet</oddHeader>
    <oddFooter>&amp;L© Euromonitor International Ltd 2024&amp;CTuesday, July 30, 2024 9:25 AM&amp;R&amp;P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7"/>
  <sheetViews>
    <sheetView zoomScale="80" zoomScaleNormal="80" workbookViewId="0">
      <pane ySplit="3" topLeftCell="A4" activePane="bottomLeft" state="frozen"/>
      <selection pane="bottomLeft" activeCell="A4" sqref="A4:E16"/>
    </sheetView>
  </sheetViews>
  <sheetFormatPr defaultColWidth="9" defaultRowHeight="12.75" x14ac:dyDescent="0.2"/>
  <cols>
    <col min="1" max="1" width="8" style="21" bestFit="1" customWidth="1"/>
    <col min="2" max="2" width="29" style="21" bestFit="1" customWidth="1"/>
    <col min="3" max="3" width="29.5" style="21" bestFit="1" customWidth="1"/>
    <col min="4" max="4" width="9.375" style="21" bestFit="1" customWidth="1"/>
    <col min="5" max="5" width="8.625" style="21" bestFit="1" customWidth="1"/>
    <col min="6" max="16384" width="9" style="21"/>
  </cols>
  <sheetData>
    <row r="1" spans="1:5" s="23" customFormat="1" ht="75" customHeight="1" x14ac:dyDescent="0.2">
      <c r="E1" s="26"/>
    </row>
    <row r="2" spans="1:5" x14ac:dyDescent="0.2">
      <c r="A2" s="29" t="s">
        <v>6</v>
      </c>
      <c r="B2" s="29" t="s">
        <v>16</v>
      </c>
      <c r="C2" s="29" t="s">
        <v>17</v>
      </c>
      <c r="D2" s="29" t="s">
        <v>26</v>
      </c>
      <c r="E2" s="30" t="s">
        <v>32</v>
      </c>
    </row>
    <row r="3" spans="1:5" x14ac:dyDescent="0.2">
      <c r="A3" s="29"/>
      <c r="B3" s="29"/>
      <c r="C3" s="29"/>
      <c r="D3" s="29"/>
      <c r="E3" s="30"/>
    </row>
    <row r="4" spans="1:5" x14ac:dyDescent="0.2">
      <c r="A4" s="21" t="s">
        <v>40</v>
      </c>
      <c r="B4" s="21" t="s">
        <v>47</v>
      </c>
      <c r="C4" s="21" t="s">
        <v>48</v>
      </c>
      <c r="D4" s="21" t="s">
        <v>53</v>
      </c>
      <c r="E4" s="27">
        <v>49270.128248807203</v>
      </c>
    </row>
    <row r="5" spans="1:5" x14ac:dyDescent="0.2">
      <c r="A5" s="21" t="s">
        <v>40</v>
      </c>
      <c r="B5" s="21" t="s">
        <v>54</v>
      </c>
      <c r="C5" s="21" t="s">
        <v>55</v>
      </c>
      <c r="D5" s="21" t="s">
        <v>53</v>
      </c>
      <c r="E5" s="27">
        <v>23685.587136290102</v>
      </c>
    </row>
    <row r="6" spans="1:5" x14ac:dyDescent="0.2">
      <c r="A6" s="21" t="s">
        <v>40</v>
      </c>
      <c r="B6" s="21" t="s">
        <v>56</v>
      </c>
      <c r="C6" s="21" t="s">
        <v>57</v>
      </c>
      <c r="D6" s="21" t="s">
        <v>53</v>
      </c>
      <c r="E6" s="27">
        <v>19454.0184174686</v>
      </c>
    </row>
    <row r="7" spans="1:5" x14ac:dyDescent="0.2">
      <c r="A7" s="21" t="s">
        <v>40</v>
      </c>
      <c r="B7" s="21" t="s">
        <v>58</v>
      </c>
      <c r="C7" s="21" t="s">
        <v>59</v>
      </c>
      <c r="D7" s="21" t="s">
        <v>53</v>
      </c>
      <c r="E7" s="27">
        <v>13762.9448308553</v>
      </c>
    </row>
    <row r="8" spans="1:5" x14ac:dyDescent="0.2">
      <c r="A8" s="21" t="s">
        <v>40</v>
      </c>
      <c r="B8" s="21" t="s">
        <v>60</v>
      </c>
      <c r="C8" s="21" t="s">
        <v>61</v>
      </c>
      <c r="D8" s="21" t="s">
        <v>53</v>
      </c>
      <c r="E8" s="27">
        <v>12018.2691674912</v>
      </c>
    </row>
    <row r="9" spans="1:5" x14ac:dyDescent="0.2">
      <c r="A9" s="21" t="s">
        <v>40</v>
      </c>
      <c r="B9" s="21" t="s">
        <v>62</v>
      </c>
      <c r="C9" s="21" t="s">
        <v>63</v>
      </c>
      <c r="D9" s="21" t="s">
        <v>53</v>
      </c>
      <c r="E9" s="27">
        <v>11046.8147266407</v>
      </c>
    </row>
    <row r="10" spans="1:5" x14ac:dyDescent="0.2">
      <c r="A10" s="21" t="s">
        <v>40</v>
      </c>
      <c r="B10" s="21" t="s">
        <v>64</v>
      </c>
      <c r="C10" s="21" t="s">
        <v>65</v>
      </c>
      <c r="D10" s="21" t="s">
        <v>53</v>
      </c>
      <c r="E10" s="27">
        <v>10462.4450915671</v>
      </c>
    </row>
    <row r="11" spans="1:5" x14ac:dyDescent="0.2">
      <c r="A11" s="21" t="s">
        <v>40</v>
      </c>
      <c r="B11" s="21" t="s">
        <v>66</v>
      </c>
      <c r="C11" s="21" t="s">
        <v>67</v>
      </c>
      <c r="D11" s="21" t="s">
        <v>53</v>
      </c>
      <c r="E11" s="27">
        <v>10143.332088462101</v>
      </c>
    </row>
    <row r="12" spans="1:5" x14ac:dyDescent="0.2">
      <c r="A12" s="21" t="s">
        <v>40</v>
      </c>
      <c r="B12" s="21" t="s">
        <v>68</v>
      </c>
      <c r="C12" s="21" t="s">
        <v>69</v>
      </c>
      <c r="D12" s="21" t="s">
        <v>53</v>
      </c>
      <c r="E12" s="27">
        <v>9080.3590101814007</v>
      </c>
    </row>
    <row r="13" spans="1:5" x14ac:dyDescent="0.2">
      <c r="A13" s="21" t="s">
        <v>40</v>
      </c>
      <c r="B13" s="21" t="s">
        <v>70</v>
      </c>
      <c r="C13" s="21" t="s">
        <v>71</v>
      </c>
      <c r="D13" s="21" t="s">
        <v>53</v>
      </c>
      <c r="E13" s="27">
        <v>8791.5311097674003</v>
      </c>
    </row>
    <row r="14" spans="1:5" x14ac:dyDescent="0.2">
      <c r="A14" s="21" t="s">
        <v>40</v>
      </c>
      <c r="B14" s="21" t="s">
        <v>72</v>
      </c>
      <c r="C14" s="21" t="s">
        <v>72</v>
      </c>
      <c r="D14" s="21" t="s">
        <v>53</v>
      </c>
      <c r="E14" s="27">
        <v>6462.8215482895002</v>
      </c>
    </row>
    <row r="15" spans="1:5" x14ac:dyDescent="0.2">
      <c r="A15" s="21" t="s">
        <v>40</v>
      </c>
      <c r="B15" s="21" t="s">
        <v>73</v>
      </c>
      <c r="C15" s="21" t="s">
        <v>63</v>
      </c>
      <c r="D15" s="21" t="s">
        <v>53</v>
      </c>
      <c r="E15" s="27">
        <v>5571.1412859340999</v>
      </c>
    </row>
    <row r="16" spans="1:5" x14ac:dyDescent="0.2">
      <c r="A16" s="21" t="s">
        <v>40</v>
      </c>
      <c r="B16" s="21" t="s">
        <v>74</v>
      </c>
      <c r="C16" s="21" t="s">
        <v>59</v>
      </c>
      <c r="D16" s="21" t="s">
        <v>53</v>
      </c>
      <c r="E16" s="27">
        <v>5558.7029555326999</v>
      </c>
    </row>
    <row r="17" spans="1:5" x14ac:dyDescent="0.2">
      <c r="A17" s="21" t="s">
        <v>40</v>
      </c>
      <c r="B17" s="21" t="s">
        <v>75</v>
      </c>
      <c r="C17" s="21" t="s">
        <v>67</v>
      </c>
      <c r="D17" s="21" t="s">
        <v>53</v>
      </c>
      <c r="E17" s="27">
        <v>5042.0941445775998</v>
      </c>
    </row>
    <row r="18" spans="1:5" x14ac:dyDescent="0.2">
      <c r="A18" s="21" t="s">
        <v>40</v>
      </c>
      <c r="B18" s="21" t="s">
        <v>76</v>
      </c>
      <c r="C18" s="21" t="s">
        <v>77</v>
      </c>
      <c r="D18" s="21" t="s">
        <v>53</v>
      </c>
      <c r="E18" s="27">
        <v>5018.2490269870004</v>
      </c>
    </row>
    <row r="19" spans="1:5" x14ac:dyDescent="0.2">
      <c r="A19" s="21" t="s">
        <v>40</v>
      </c>
      <c r="B19" s="21" t="s">
        <v>78</v>
      </c>
      <c r="C19" s="21" t="s">
        <v>79</v>
      </c>
      <c r="D19" s="21" t="s">
        <v>53</v>
      </c>
      <c r="E19" s="27">
        <v>4952.7911792327004</v>
      </c>
    </row>
    <row r="20" spans="1:5" x14ac:dyDescent="0.2">
      <c r="A20" s="21" t="s">
        <v>40</v>
      </c>
      <c r="B20" s="21" t="s">
        <v>80</v>
      </c>
      <c r="C20" s="21" t="s">
        <v>81</v>
      </c>
      <c r="D20" s="21" t="s">
        <v>53</v>
      </c>
      <c r="E20" s="27">
        <v>4937.0585995911997</v>
      </c>
    </row>
    <row r="21" spans="1:5" x14ac:dyDescent="0.2">
      <c r="A21" s="21" t="s">
        <v>40</v>
      </c>
      <c r="B21" s="21" t="s">
        <v>82</v>
      </c>
      <c r="C21" s="21" t="s">
        <v>59</v>
      </c>
      <c r="D21" s="21" t="s">
        <v>53</v>
      </c>
      <c r="E21" s="27">
        <v>4836.3642077017003</v>
      </c>
    </row>
    <row r="22" spans="1:5" x14ac:dyDescent="0.2">
      <c r="A22" s="21" t="s">
        <v>40</v>
      </c>
      <c r="B22" s="21" t="s">
        <v>83</v>
      </c>
      <c r="C22" s="21" t="s">
        <v>63</v>
      </c>
      <c r="D22" s="21" t="s">
        <v>53</v>
      </c>
      <c r="E22" s="27">
        <v>4698.4070855501004</v>
      </c>
    </row>
    <row r="23" spans="1:5" x14ac:dyDescent="0.2">
      <c r="A23" s="21" t="s">
        <v>40</v>
      </c>
      <c r="B23" s="21" t="s">
        <v>84</v>
      </c>
      <c r="C23" s="21" t="s">
        <v>85</v>
      </c>
      <c r="D23" s="21" t="s">
        <v>53</v>
      </c>
      <c r="E23" s="27">
        <v>4560.2956691891004</v>
      </c>
    </row>
    <row r="24" spans="1:5" x14ac:dyDescent="0.2">
      <c r="A24" s="21" t="s">
        <v>40</v>
      </c>
      <c r="B24" s="21" t="s">
        <v>86</v>
      </c>
      <c r="C24" s="21" t="s">
        <v>87</v>
      </c>
      <c r="D24" s="21" t="s">
        <v>53</v>
      </c>
      <c r="E24" s="27">
        <v>4193.8179636310997</v>
      </c>
    </row>
    <row r="25" spans="1:5" x14ac:dyDescent="0.2">
      <c r="A25" s="21" t="s">
        <v>40</v>
      </c>
      <c r="B25" s="21" t="s">
        <v>88</v>
      </c>
      <c r="C25" s="21" t="s">
        <v>89</v>
      </c>
      <c r="D25" s="21" t="s">
        <v>53</v>
      </c>
      <c r="E25" s="27">
        <v>4116.6075123793999</v>
      </c>
    </row>
    <row r="26" spans="1:5" x14ac:dyDescent="0.2">
      <c r="A26" s="21" t="s">
        <v>40</v>
      </c>
      <c r="B26" s="21" t="s">
        <v>90</v>
      </c>
      <c r="C26" s="21" t="s">
        <v>91</v>
      </c>
      <c r="D26" s="21" t="s">
        <v>53</v>
      </c>
      <c r="E26" s="27">
        <v>4018.6347617480001</v>
      </c>
    </row>
    <row r="27" spans="1:5" x14ac:dyDescent="0.2">
      <c r="A27" s="21" t="s">
        <v>40</v>
      </c>
      <c r="B27" s="21" t="s">
        <v>92</v>
      </c>
      <c r="C27" s="21" t="s">
        <v>93</v>
      </c>
      <c r="D27" s="21" t="s">
        <v>53</v>
      </c>
      <c r="E27" s="27">
        <v>3982.8371477607002</v>
      </c>
    </row>
    <row r="28" spans="1:5" x14ac:dyDescent="0.2">
      <c r="A28" s="21" t="s">
        <v>40</v>
      </c>
      <c r="B28" s="21" t="s">
        <v>94</v>
      </c>
      <c r="C28" s="21" t="s">
        <v>95</v>
      </c>
      <c r="D28" s="21" t="s">
        <v>53</v>
      </c>
      <c r="E28" s="27">
        <v>3804.9114907378998</v>
      </c>
    </row>
    <row r="29" spans="1:5" x14ac:dyDescent="0.2">
      <c r="A29" s="21" t="s">
        <v>40</v>
      </c>
      <c r="B29" s="21" t="s">
        <v>96</v>
      </c>
      <c r="C29" s="21" t="s">
        <v>97</v>
      </c>
      <c r="D29" s="21" t="s">
        <v>53</v>
      </c>
      <c r="E29" s="27">
        <v>3655.8992563604002</v>
      </c>
    </row>
    <row r="30" spans="1:5" x14ac:dyDescent="0.2">
      <c r="A30" s="21" t="s">
        <v>40</v>
      </c>
      <c r="B30" s="21" t="s">
        <v>98</v>
      </c>
      <c r="C30" s="21" t="s">
        <v>99</v>
      </c>
      <c r="D30" s="21" t="s">
        <v>53</v>
      </c>
      <c r="E30" s="27">
        <v>3635.2541481837002</v>
      </c>
    </row>
    <row r="31" spans="1:5" x14ac:dyDescent="0.2">
      <c r="A31" s="21" t="s">
        <v>40</v>
      </c>
      <c r="B31" s="21" t="s">
        <v>100</v>
      </c>
      <c r="C31" s="21" t="s">
        <v>63</v>
      </c>
      <c r="D31" s="21" t="s">
        <v>53</v>
      </c>
      <c r="E31" s="27">
        <v>3595.0636739880001</v>
      </c>
    </row>
    <row r="32" spans="1:5" x14ac:dyDescent="0.2">
      <c r="A32" s="21" t="s">
        <v>40</v>
      </c>
      <c r="B32" s="21" t="s">
        <v>101</v>
      </c>
      <c r="C32" s="21" t="s">
        <v>102</v>
      </c>
      <c r="D32" s="21" t="s">
        <v>53</v>
      </c>
      <c r="E32" s="27">
        <v>3583.4336914016999</v>
      </c>
    </row>
    <row r="33" spans="1:5" x14ac:dyDescent="0.2">
      <c r="A33" s="21" t="s">
        <v>40</v>
      </c>
      <c r="B33" s="21" t="s">
        <v>103</v>
      </c>
      <c r="C33" s="21" t="s">
        <v>87</v>
      </c>
      <c r="D33" s="21" t="s">
        <v>53</v>
      </c>
      <c r="E33" s="27">
        <v>3555.2802016728001</v>
      </c>
    </row>
    <row r="34" spans="1:5" x14ac:dyDescent="0.2">
      <c r="A34" s="21" t="s">
        <v>40</v>
      </c>
      <c r="B34" s="21" t="s">
        <v>104</v>
      </c>
      <c r="C34" s="21" t="s">
        <v>105</v>
      </c>
      <c r="D34" s="21" t="s">
        <v>53</v>
      </c>
      <c r="E34" s="27">
        <v>3441.3929761736999</v>
      </c>
    </row>
    <row r="35" spans="1:5" x14ac:dyDescent="0.2">
      <c r="A35" s="21" t="s">
        <v>40</v>
      </c>
      <c r="B35" s="21" t="s">
        <v>106</v>
      </c>
      <c r="C35" s="21" t="s">
        <v>107</v>
      </c>
      <c r="D35" s="21" t="s">
        <v>53</v>
      </c>
      <c r="E35" s="27">
        <v>3441.2119858988999</v>
      </c>
    </row>
    <row r="36" spans="1:5" x14ac:dyDescent="0.2">
      <c r="A36" s="21" t="s">
        <v>40</v>
      </c>
      <c r="B36" s="21" t="s">
        <v>108</v>
      </c>
      <c r="C36" s="21" t="s">
        <v>109</v>
      </c>
      <c r="D36" s="21" t="s">
        <v>53</v>
      </c>
      <c r="E36" s="27">
        <v>2920.6070345582998</v>
      </c>
    </row>
    <row r="37" spans="1:5" x14ac:dyDescent="0.2">
      <c r="A37" s="21" t="s">
        <v>40</v>
      </c>
      <c r="B37" s="21" t="s">
        <v>110</v>
      </c>
      <c r="C37" s="21" t="s">
        <v>111</v>
      </c>
      <c r="D37" s="21" t="s">
        <v>53</v>
      </c>
      <c r="E37" s="27">
        <v>2757.1329985066</v>
      </c>
    </row>
    <row r="38" spans="1:5" x14ac:dyDescent="0.2">
      <c r="A38" s="21" t="s">
        <v>40</v>
      </c>
      <c r="B38" s="21" t="s">
        <v>112</v>
      </c>
      <c r="C38" s="21" t="s">
        <v>81</v>
      </c>
      <c r="D38" s="21" t="s">
        <v>53</v>
      </c>
      <c r="E38" s="27">
        <v>2645.3678839802001</v>
      </c>
    </row>
    <row r="39" spans="1:5" x14ac:dyDescent="0.2">
      <c r="A39" s="21" t="s">
        <v>40</v>
      </c>
      <c r="B39" s="21" t="s">
        <v>113</v>
      </c>
      <c r="C39" s="21" t="s">
        <v>114</v>
      </c>
      <c r="D39" s="21" t="s">
        <v>53</v>
      </c>
      <c r="E39" s="27">
        <v>2633.3791468148002</v>
      </c>
    </row>
    <row r="40" spans="1:5" x14ac:dyDescent="0.2">
      <c r="A40" s="21" t="s">
        <v>40</v>
      </c>
      <c r="B40" s="21" t="s">
        <v>115</v>
      </c>
      <c r="C40" s="21" t="s">
        <v>116</v>
      </c>
      <c r="D40" s="21" t="s">
        <v>53</v>
      </c>
      <c r="E40" s="27">
        <v>2579.5512230059999</v>
      </c>
    </row>
    <row r="41" spans="1:5" x14ac:dyDescent="0.2">
      <c r="A41" s="21" t="s">
        <v>40</v>
      </c>
      <c r="B41" s="21" t="s">
        <v>117</v>
      </c>
      <c r="C41" s="21" t="s">
        <v>118</v>
      </c>
      <c r="D41" s="21" t="s">
        <v>53</v>
      </c>
      <c r="E41" s="27">
        <v>2554.1716354770001</v>
      </c>
    </row>
    <row r="42" spans="1:5" x14ac:dyDescent="0.2">
      <c r="A42" s="21" t="s">
        <v>40</v>
      </c>
      <c r="B42" s="21" t="s">
        <v>119</v>
      </c>
      <c r="C42" s="21" t="s">
        <v>120</v>
      </c>
      <c r="D42" s="21" t="s">
        <v>53</v>
      </c>
      <c r="E42" s="27">
        <v>2459.3614636607999</v>
      </c>
    </row>
    <row r="43" spans="1:5" x14ac:dyDescent="0.2">
      <c r="A43" s="21" t="s">
        <v>40</v>
      </c>
      <c r="B43" s="21" t="s">
        <v>121</v>
      </c>
      <c r="C43" s="21" t="s">
        <v>122</v>
      </c>
      <c r="D43" s="21" t="s">
        <v>53</v>
      </c>
      <c r="E43" s="27">
        <v>2398.6125303825002</v>
      </c>
    </row>
    <row r="44" spans="1:5" x14ac:dyDescent="0.2">
      <c r="A44" s="21" t="s">
        <v>40</v>
      </c>
      <c r="B44" s="21" t="s">
        <v>123</v>
      </c>
      <c r="C44" s="21" t="s">
        <v>124</v>
      </c>
      <c r="D44" s="21" t="s">
        <v>53</v>
      </c>
      <c r="E44" s="27">
        <v>2374.3102874646002</v>
      </c>
    </row>
    <row r="45" spans="1:5" x14ac:dyDescent="0.2">
      <c r="A45" s="21" t="s">
        <v>40</v>
      </c>
      <c r="B45" s="21" t="s">
        <v>125</v>
      </c>
      <c r="C45" s="21" t="s">
        <v>126</v>
      </c>
      <c r="D45" s="21" t="s">
        <v>53</v>
      </c>
      <c r="E45" s="27">
        <v>2310.8351881714002</v>
      </c>
    </row>
    <row r="46" spans="1:5" x14ac:dyDescent="0.2">
      <c r="A46" s="21" t="s">
        <v>40</v>
      </c>
      <c r="B46" s="21" t="s">
        <v>127</v>
      </c>
      <c r="C46" s="21" t="s">
        <v>128</v>
      </c>
      <c r="D46" s="21" t="s">
        <v>53</v>
      </c>
      <c r="E46" s="27">
        <v>2271.4084929354999</v>
      </c>
    </row>
    <row r="47" spans="1:5" x14ac:dyDescent="0.2">
      <c r="A47" s="21" t="s">
        <v>40</v>
      </c>
      <c r="B47" s="21" t="s">
        <v>129</v>
      </c>
      <c r="C47" s="21" t="s">
        <v>130</v>
      </c>
      <c r="D47" s="21" t="s">
        <v>53</v>
      </c>
      <c r="E47" s="27">
        <v>2253.8549248912</v>
      </c>
    </row>
    <row r="48" spans="1:5" x14ac:dyDescent="0.2">
      <c r="A48" s="21" t="s">
        <v>40</v>
      </c>
      <c r="B48" s="21" t="s">
        <v>131</v>
      </c>
      <c r="C48" s="21" t="s">
        <v>132</v>
      </c>
      <c r="D48" s="21" t="s">
        <v>53</v>
      </c>
      <c r="E48" s="27">
        <v>2212.9341549363999</v>
      </c>
    </row>
    <row r="49" spans="1:5" x14ac:dyDescent="0.2">
      <c r="A49" s="21" t="s">
        <v>40</v>
      </c>
      <c r="B49" s="21" t="s">
        <v>133</v>
      </c>
      <c r="C49" s="21" t="s">
        <v>91</v>
      </c>
      <c r="D49" s="21" t="s">
        <v>53</v>
      </c>
      <c r="E49" s="27">
        <v>1747.3246822743999</v>
      </c>
    </row>
    <row r="50" spans="1:5" x14ac:dyDescent="0.2">
      <c r="A50" s="21" t="s">
        <v>40</v>
      </c>
      <c r="B50" s="21" t="s">
        <v>134</v>
      </c>
      <c r="C50" s="21" t="s">
        <v>126</v>
      </c>
      <c r="D50" s="21" t="s">
        <v>53</v>
      </c>
      <c r="E50" s="27">
        <v>1650.2077894051999</v>
      </c>
    </row>
    <row r="51" spans="1:5" x14ac:dyDescent="0.2">
      <c r="A51" s="21" t="s">
        <v>40</v>
      </c>
      <c r="B51" s="21" t="s">
        <v>135</v>
      </c>
      <c r="C51" s="21" t="s">
        <v>136</v>
      </c>
      <c r="D51" s="21" t="s">
        <v>53</v>
      </c>
      <c r="E51" s="27">
        <v>1617.4176681914</v>
      </c>
    </row>
    <row r="52" spans="1:5" x14ac:dyDescent="0.2">
      <c r="A52" s="21" t="s">
        <v>40</v>
      </c>
      <c r="B52" s="21" t="s">
        <v>137</v>
      </c>
      <c r="C52" s="21" t="s">
        <v>138</v>
      </c>
      <c r="D52" s="21" t="s">
        <v>53</v>
      </c>
      <c r="E52" s="27">
        <v>1575.6476013719</v>
      </c>
    </row>
    <row r="53" spans="1:5" x14ac:dyDescent="0.2">
      <c r="A53" s="21" t="s">
        <v>40</v>
      </c>
      <c r="B53" s="21" t="s">
        <v>139</v>
      </c>
      <c r="C53" s="21" t="s">
        <v>140</v>
      </c>
      <c r="D53" s="21" t="s">
        <v>53</v>
      </c>
      <c r="E53" s="27">
        <v>1384.0203018292</v>
      </c>
    </row>
    <row r="54" spans="1:5" x14ac:dyDescent="0.2">
      <c r="A54" s="21" t="s">
        <v>40</v>
      </c>
      <c r="B54" s="21" t="s">
        <v>141</v>
      </c>
      <c r="C54" s="21" t="s">
        <v>142</v>
      </c>
      <c r="D54" s="21" t="s">
        <v>53</v>
      </c>
      <c r="E54" s="27">
        <v>1310.2133726960001</v>
      </c>
    </row>
    <row r="55" spans="1:5" x14ac:dyDescent="0.2">
      <c r="A55" s="21" t="s">
        <v>40</v>
      </c>
      <c r="B55" s="21" t="s">
        <v>143</v>
      </c>
      <c r="C55" s="21" t="s">
        <v>144</v>
      </c>
      <c r="D55" s="21" t="s">
        <v>53</v>
      </c>
      <c r="E55" s="27">
        <v>1308.7161306472999</v>
      </c>
    </row>
    <row r="56" spans="1:5" x14ac:dyDescent="0.2">
      <c r="A56" s="21" t="s">
        <v>40</v>
      </c>
      <c r="B56" s="21" t="s">
        <v>145</v>
      </c>
      <c r="C56" s="21" t="s">
        <v>146</v>
      </c>
      <c r="D56" s="21" t="s">
        <v>53</v>
      </c>
      <c r="E56" s="27">
        <v>1280.8827674670999</v>
      </c>
    </row>
    <row r="57" spans="1:5" x14ac:dyDescent="0.2">
      <c r="A57" s="21" t="s">
        <v>40</v>
      </c>
      <c r="B57" s="21" t="s">
        <v>147</v>
      </c>
      <c r="C57" s="21" t="s">
        <v>148</v>
      </c>
      <c r="D57" s="21" t="s">
        <v>53</v>
      </c>
      <c r="E57" s="27">
        <v>1258.1698454002001</v>
      </c>
    </row>
    <row r="58" spans="1:5" x14ac:dyDescent="0.2">
      <c r="A58" s="21" t="s">
        <v>40</v>
      </c>
      <c r="B58" s="21" t="s">
        <v>149</v>
      </c>
      <c r="C58" s="21" t="s">
        <v>150</v>
      </c>
      <c r="D58" s="21" t="s">
        <v>53</v>
      </c>
      <c r="E58" s="27">
        <v>1189.8909248555999</v>
      </c>
    </row>
    <row r="59" spans="1:5" x14ac:dyDescent="0.2">
      <c r="A59" s="21" t="s">
        <v>40</v>
      </c>
      <c r="B59" s="21" t="s">
        <v>151</v>
      </c>
      <c r="C59" s="21" t="s">
        <v>152</v>
      </c>
      <c r="D59" s="21" t="s">
        <v>53</v>
      </c>
      <c r="E59" s="27">
        <v>1121.1770620568</v>
      </c>
    </row>
    <row r="60" spans="1:5" x14ac:dyDescent="0.2">
      <c r="A60" s="21" t="s">
        <v>40</v>
      </c>
      <c r="B60" s="21" t="s">
        <v>153</v>
      </c>
      <c r="C60" s="21" t="s">
        <v>154</v>
      </c>
      <c r="D60" s="21" t="s">
        <v>53</v>
      </c>
      <c r="E60" s="27">
        <v>1112.9961885145001</v>
      </c>
    </row>
    <row r="61" spans="1:5" x14ac:dyDescent="0.2">
      <c r="A61" s="21" t="s">
        <v>40</v>
      </c>
      <c r="B61" s="21" t="s">
        <v>155</v>
      </c>
      <c r="C61" s="21" t="s">
        <v>67</v>
      </c>
      <c r="D61" s="21" t="s">
        <v>53</v>
      </c>
      <c r="E61" s="27">
        <v>1077.7174510215</v>
      </c>
    </row>
    <row r="62" spans="1:5" x14ac:dyDescent="0.2">
      <c r="A62" s="21" t="s">
        <v>40</v>
      </c>
      <c r="B62" s="21" t="s">
        <v>156</v>
      </c>
      <c r="C62" s="21" t="s">
        <v>157</v>
      </c>
      <c r="D62" s="21" t="s">
        <v>53</v>
      </c>
      <c r="E62" s="27">
        <v>1029.0239405943</v>
      </c>
    </row>
    <row r="63" spans="1:5" x14ac:dyDescent="0.2">
      <c r="A63" s="21" t="s">
        <v>40</v>
      </c>
      <c r="B63" s="21" t="s">
        <v>158</v>
      </c>
      <c r="C63" s="21" t="s">
        <v>159</v>
      </c>
      <c r="D63" s="21" t="s">
        <v>53</v>
      </c>
      <c r="E63" s="27">
        <v>1002.0774297608</v>
      </c>
    </row>
    <row r="64" spans="1:5" x14ac:dyDescent="0.2">
      <c r="A64" s="21" t="s">
        <v>40</v>
      </c>
      <c r="B64" s="21" t="s">
        <v>160</v>
      </c>
      <c r="C64" s="21" t="s">
        <v>160</v>
      </c>
      <c r="D64" s="21" t="s">
        <v>53</v>
      </c>
      <c r="E64" s="27">
        <v>1000.3404887169</v>
      </c>
    </row>
    <row r="65" spans="1:5" x14ac:dyDescent="0.2">
      <c r="A65" s="21" t="s">
        <v>40</v>
      </c>
      <c r="B65" s="21" t="s">
        <v>161</v>
      </c>
      <c r="C65" s="21" t="s">
        <v>162</v>
      </c>
      <c r="D65" s="21" t="s">
        <v>53</v>
      </c>
      <c r="E65" s="27">
        <v>963.27356730830002</v>
      </c>
    </row>
    <row r="66" spans="1:5" x14ac:dyDescent="0.2">
      <c r="A66" s="21" t="s">
        <v>40</v>
      </c>
      <c r="B66" s="21" t="s">
        <v>163</v>
      </c>
      <c r="C66" s="21" t="s">
        <v>164</v>
      </c>
      <c r="D66" s="21" t="s">
        <v>53</v>
      </c>
      <c r="E66" s="27">
        <v>950.47246452479999</v>
      </c>
    </row>
    <row r="67" spans="1:5" x14ac:dyDescent="0.2">
      <c r="A67" s="21" t="s">
        <v>40</v>
      </c>
      <c r="B67" s="21" t="s">
        <v>165</v>
      </c>
      <c r="C67" s="21" t="s">
        <v>166</v>
      </c>
      <c r="D67" s="21" t="s">
        <v>53</v>
      </c>
      <c r="E67" s="27">
        <v>916.63197756279999</v>
      </c>
    </row>
    <row r="68" spans="1:5" x14ac:dyDescent="0.2">
      <c r="A68" s="21" t="s">
        <v>40</v>
      </c>
      <c r="B68" s="21" t="s">
        <v>167</v>
      </c>
      <c r="C68" s="21" t="s">
        <v>93</v>
      </c>
      <c r="D68" s="21" t="s">
        <v>53</v>
      </c>
      <c r="E68" s="27">
        <v>911.11488495009996</v>
      </c>
    </row>
    <row r="69" spans="1:5" x14ac:dyDescent="0.2">
      <c r="A69" s="21" t="s">
        <v>40</v>
      </c>
      <c r="B69" s="21" t="s">
        <v>168</v>
      </c>
      <c r="C69" s="21" t="s">
        <v>169</v>
      </c>
      <c r="D69" s="21" t="s">
        <v>53</v>
      </c>
      <c r="E69" s="27">
        <v>877.50108830739998</v>
      </c>
    </row>
    <row r="70" spans="1:5" x14ac:dyDescent="0.2">
      <c r="A70" s="21" t="s">
        <v>40</v>
      </c>
      <c r="B70" s="21" t="s">
        <v>170</v>
      </c>
      <c r="C70" s="21" t="s">
        <v>67</v>
      </c>
      <c r="D70" s="21" t="s">
        <v>53</v>
      </c>
      <c r="E70" s="27">
        <v>821.11786669629998</v>
      </c>
    </row>
    <row r="71" spans="1:5" x14ac:dyDescent="0.2">
      <c r="A71" s="21" t="s">
        <v>40</v>
      </c>
      <c r="B71" s="21" t="s">
        <v>171</v>
      </c>
      <c r="C71" s="21" t="s">
        <v>172</v>
      </c>
      <c r="D71" s="21" t="s">
        <v>53</v>
      </c>
      <c r="E71" s="27">
        <v>787.56543706859998</v>
      </c>
    </row>
    <row r="72" spans="1:5" x14ac:dyDescent="0.2">
      <c r="A72" s="21" t="s">
        <v>40</v>
      </c>
      <c r="B72" s="21" t="s">
        <v>173</v>
      </c>
      <c r="C72" s="21" t="s">
        <v>174</v>
      </c>
      <c r="D72" s="21" t="s">
        <v>53</v>
      </c>
      <c r="E72" s="27">
        <v>770.95098231290001</v>
      </c>
    </row>
    <row r="73" spans="1:5" x14ac:dyDescent="0.2">
      <c r="A73" s="21" t="s">
        <v>40</v>
      </c>
      <c r="B73" s="21" t="s">
        <v>175</v>
      </c>
      <c r="C73" s="21" t="s">
        <v>176</v>
      </c>
      <c r="D73" s="21" t="s">
        <v>53</v>
      </c>
      <c r="E73" s="27">
        <v>745.38293866030006</v>
      </c>
    </row>
    <row r="74" spans="1:5" x14ac:dyDescent="0.2">
      <c r="A74" s="21" t="s">
        <v>40</v>
      </c>
      <c r="B74" s="21" t="s">
        <v>177</v>
      </c>
      <c r="C74" s="21" t="s">
        <v>178</v>
      </c>
      <c r="D74" s="21" t="s">
        <v>53</v>
      </c>
      <c r="E74" s="27">
        <v>736.23076949619997</v>
      </c>
    </row>
    <row r="75" spans="1:5" x14ac:dyDescent="0.2">
      <c r="A75" s="21" t="s">
        <v>40</v>
      </c>
      <c r="B75" s="21" t="s">
        <v>179</v>
      </c>
      <c r="C75" s="21" t="s">
        <v>81</v>
      </c>
      <c r="D75" s="21" t="s">
        <v>53</v>
      </c>
      <c r="E75" s="27">
        <v>718.10216141290005</v>
      </c>
    </row>
    <row r="76" spans="1:5" x14ac:dyDescent="0.2">
      <c r="A76" s="21" t="s">
        <v>40</v>
      </c>
      <c r="B76" s="21" t="s">
        <v>180</v>
      </c>
      <c r="C76" s="21" t="s">
        <v>181</v>
      </c>
      <c r="D76" s="21" t="s">
        <v>53</v>
      </c>
      <c r="E76" s="27">
        <v>716.06585114250004</v>
      </c>
    </row>
    <row r="77" spans="1:5" x14ac:dyDescent="0.2">
      <c r="A77" s="21" t="s">
        <v>40</v>
      </c>
      <c r="B77" s="21" t="s">
        <v>182</v>
      </c>
      <c r="C77" s="21" t="s">
        <v>111</v>
      </c>
      <c r="D77" s="21" t="s">
        <v>53</v>
      </c>
      <c r="E77" s="27">
        <v>712.34333366440001</v>
      </c>
    </row>
    <row r="78" spans="1:5" x14ac:dyDescent="0.2">
      <c r="A78" s="21" t="s">
        <v>40</v>
      </c>
      <c r="B78" s="21" t="s">
        <v>183</v>
      </c>
      <c r="C78" s="21" t="s">
        <v>81</v>
      </c>
      <c r="D78" s="21" t="s">
        <v>53</v>
      </c>
      <c r="E78" s="27">
        <v>711.03466085829996</v>
      </c>
    </row>
    <row r="79" spans="1:5" x14ac:dyDescent="0.2">
      <c r="A79" s="21" t="s">
        <v>40</v>
      </c>
      <c r="B79" s="21" t="s">
        <v>184</v>
      </c>
      <c r="C79" s="21" t="s">
        <v>185</v>
      </c>
      <c r="D79" s="21" t="s">
        <v>53</v>
      </c>
      <c r="E79" s="27">
        <v>705.15898126369996</v>
      </c>
    </row>
    <row r="80" spans="1:5" x14ac:dyDescent="0.2">
      <c r="A80" s="21" t="s">
        <v>40</v>
      </c>
      <c r="B80" s="21" t="s">
        <v>186</v>
      </c>
      <c r="C80" s="21" t="s">
        <v>176</v>
      </c>
      <c r="D80" s="21" t="s">
        <v>53</v>
      </c>
      <c r="E80" s="27">
        <v>700.46771333950005</v>
      </c>
    </row>
    <row r="81" spans="1:5" x14ac:dyDescent="0.2">
      <c r="A81" s="21" t="s">
        <v>40</v>
      </c>
      <c r="B81" s="21" t="s">
        <v>187</v>
      </c>
      <c r="C81" s="21" t="s">
        <v>188</v>
      </c>
      <c r="D81" s="21" t="s">
        <v>53</v>
      </c>
      <c r="E81" s="27">
        <v>695.28177637040005</v>
      </c>
    </row>
    <row r="82" spans="1:5" x14ac:dyDescent="0.2">
      <c r="A82" s="21" t="s">
        <v>40</v>
      </c>
      <c r="B82" s="21" t="s">
        <v>189</v>
      </c>
      <c r="C82" s="21" t="s">
        <v>63</v>
      </c>
      <c r="D82" s="21" t="s">
        <v>53</v>
      </c>
      <c r="E82" s="27">
        <v>682.02927252949996</v>
      </c>
    </row>
    <row r="83" spans="1:5" x14ac:dyDescent="0.2">
      <c r="A83" s="21" t="s">
        <v>40</v>
      </c>
      <c r="B83" s="21" t="s">
        <v>190</v>
      </c>
      <c r="C83" s="21" t="s">
        <v>191</v>
      </c>
      <c r="D83" s="21" t="s">
        <v>53</v>
      </c>
      <c r="E83" s="27">
        <v>653.23609529800001</v>
      </c>
    </row>
    <row r="84" spans="1:5" x14ac:dyDescent="0.2">
      <c r="A84" s="21" t="s">
        <v>40</v>
      </c>
      <c r="B84" s="21" t="s">
        <v>192</v>
      </c>
      <c r="C84" s="21" t="s">
        <v>193</v>
      </c>
      <c r="D84" s="21" t="s">
        <v>53</v>
      </c>
      <c r="E84" s="27">
        <v>609.79102004410004</v>
      </c>
    </row>
    <row r="85" spans="1:5" x14ac:dyDescent="0.2">
      <c r="A85" s="21" t="s">
        <v>40</v>
      </c>
      <c r="B85" s="21" t="s">
        <v>194</v>
      </c>
      <c r="C85" s="21" t="s">
        <v>195</v>
      </c>
      <c r="D85" s="21" t="s">
        <v>53</v>
      </c>
      <c r="E85" s="27">
        <v>602.54875075539996</v>
      </c>
    </row>
    <row r="86" spans="1:5" x14ac:dyDescent="0.2">
      <c r="A86" s="21" t="s">
        <v>40</v>
      </c>
      <c r="B86" s="21" t="s">
        <v>196</v>
      </c>
      <c r="C86" s="21" t="s">
        <v>196</v>
      </c>
      <c r="D86" s="21" t="s">
        <v>53</v>
      </c>
      <c r="E86" s="27">
        <v>596.68936028550002</v>
      </c>
    </row>
    <row r="87" spans="1:5" x14ac:dyDescent="0.2">
      <c r="A87" s="21" t="s">
        <v>40</v>
      </c>
      <c r="B87" s="21" t="s">
        <v>197</v>
      </c>
      <c r="C87" s="21" t="s">
        <v>81</v>
      </c>
      <c r="D87" s="21" t="s">
        <v>53</v>
      </c>
      <c r="E87" s="27">
        <v>577.25134412320006</v>
      </c>
    </row>
    <row r="88" spans="1:5" x14ac:dyDescent="0.2">
      <c r="A88" s="21" t="s">
        <v>40</v>
      </c>
      <c r="B88" s="21" t="s">
        <v>198</v>
      </c>
      <c r="C88" s="21" t="s">
        <v>199</v>
      </c>
      <c r="D88" s="21" t="s">
        <v>53</v>
      </c>
      <c r="E88" s="27">
        <v>557.49252269869999</v>
      </c>
    </row>
    <row r="89" spans="1:5" x14ac:dyDescent="0.2">
      <c r="A89" s="21" t="s">
        <v>40</v>
      </c>
      <c r="B89" s="21" t="s">
        <v>200</v>
      </c>
      <c r="C89" s="21" t="s">
        <v>201</v>
      </c>
      <c r="D89" s="21" t="s">
        <v>53</v>
      </c>
      <c r="E89" s="27">
        <v>547.65779396050004</v>
      </c>
    </row>
    <row r="90" spans="1:5" x14ac:dyDescent="0.2">
      <c r="A90" s="21" t="s">
        <v>40</v>
      </c>
      <c r="B90" s="21" t="s">
        <v>202</v>
      </c>
      <c r="C90" s="21" t="s">
        <v>203</v>
      </c>
      <c r="D90" s="21" t="s">
        <v>53</v>
      </c>
      <c r="E90" s="27">
        <v>545.93838634940005</v>
      </c>
    </row>
    <row r="91" spans="1:5" x14ac:dyDescent="0.2">
      <c r="A91" s="21" t="s">
        <v>40</v>
      </c>
      <c r="B91" s="21" t="s">
        <v>204</v>
      </c>
      <c r="C91" s="21" t="s">
        <v>205</v>
      </c>
      <c r="D91" s="21" t="s">
        <v>53</v>
      </c>
      <c r="E91" s="27">
        <v>538.09551214550004</v>
      </c>
    </row>
    <row r="92" spans="1:5" x14ac:dyDescent="0.2">
      <c r="A92" s="21" t="s">
        <v>40</v>
      </c>
      <c r="B92" s="21" t="s">
        <v>206</v>
      </c>
      <c r="C92" s="21" t="s">
        <v>207</v>
      </c>
      <c r="D92" s="21" t="s">
        <v>53</v>
      </c>
      <c r="E92" s="27">
        <v>523.94869717890003</v>
      </c>
    </row>
    <row r="93" spans="1:5" x14ac:dyDescent="0.2">
      <c r="A93" s="21" t="s">
        <v>40</v>
      </c>
      <c r="B93" s="21" t="s">
        <v>208</v>
      </c>
      <c r="C93" s="21" t="s">
        <v>209</v>
      </c>
      <c r="D93" s="21" t="s">
        <v>53</v>
      </c>
      <c r="E93" s="27">
        <v>396.71939886270002</v>
      </c>
    </row>
    <row r="94" spans="1:5" x14ac:dyDescent="0.2">
      <c r="A94" s="21" t="s">
        <v>40</v>
      </c>
      <c r="B94" s="21" t="s">
        <v>210</v>
      </c>
      <c r="C94" s="21" t="s">
        <v>211</v>
      </c>
      <c r="D94" s="21" t="s">
        <v>53</v>
      </c>
      <c r="E94" s="27">
        <v>393.63750211849998</v>
      </c>
    </row>
    <row r="95" spans="1:5" x14ac:dyDescent="0.2">
      <c r="A95" s="21" t="s">
        <v>40</v>
      </c>
      <c r="B95" s="21" t="s">
        <v>212</v>
      </c>
      <c r="C95" s="21" t="s">
        <v>213</v>
      </c>
      <c r="D95" s="21" t="s">
        <v>53</v>
      </c>
      <c r="E95" s="27">
        <v>377.76117660710003</v>
      </c>
    </row>
    <row r="96" spans="1:5" x14ac:dyDescent="0.2">
      <c r="A96" s="21" t="s">
        <v>40</v>
      </c>
      <c r="B96" s="21" t="s">
        <v>214</v>
      </c>
      <c r="C96" s="21" t="s">
        <v>176</v>
      </c>
      <c r="D96" s="21" t="s">
        <v>53</v>
      </c>
      <c r="E96" s="27">
        <v>377.43564863</v>
      </c>
    </row>
    <row r="97" spans="1:5" x14ac:dyDescent="0.2">
      <c r="A97" s="21" t="s">
        <v>40</v>
      </c>
      <c r="B97" s="21" t="s">
        <v>215</v>
      </c>
      <c r="C97" s="21" t="s">
        <v>216</v>
      </c>
      <c r="D97" s="21" t="s">
        <v>53</v>
      </c>
      <c r="E97" s="27">
        <v>361.06287245060003</v>
      </c>
    </row>
    <row r="98" spans="1:5" x14ac:dyDescent="0.2">
      <c r="A98" s="21" t="s">
        <v>40</v>
      </c>
      <c r="B98" s="21" t="s">
        <v>217</v>
      </c>
      <c r="C98" s="21" t="s">
        <v>99</v>
      </c>
      <c r="D98" s="21" t="s">
        <v>53</v>
      </c>
      <c r="E98" s="27">
        <v>360.19160223530002</v>
      </c>
    </row>
    <row r="99" spans="1:5" x14ac:dyDescent="0.2">
      <c r="A99" s="21" t="s">
        <v>40</v>
      </c>
      <c r="B99" s="21" t="s">
        <v>218</v>
      </c>
      <c r="C99" s="21" t="s">
        <v>219</v>
      </c>
      <c r="D99" s="21" t="s">
        <v>53</v>
      </c>
      <c r="E99" s="27">
        <v>356.18880434890002</v>
      </c>
    </row>
    <row r="100" spans="1:5" x14ac:dyDescent="0.2">
      <c r="A100" s="21" t="s">
        <v>40</v>
      </c>
      <c r="B100" s="21" t="s">
        <v>220</v>
      </c>
      <c r="C100" s="21" t="s">
        <v>221</v>
      </c>
      <c r="D100" s="21" t="s">
        <v>53</v>
      </c>
      <c r="E100" s="27">
        <v>349.18787427979998</v>
      </c>
    </row>
    <row r="101" spans="1:5" x14ac:dyDescent="0.2">
      <c r="A101" s="21" t="s">
        <v>40</v>
      </c>
      <c r="B101" s="21" t="s">
        <v>222</v>
      </c>
      <c r="C101" s="21" t="s">
        <v>223</v>
      </c>
      <c r="D101" s="21" t="s">
        <v>53</v>
      </c>
      <c r="E101" s="27">
        <v>346.96387143829998</v>
      </c>
    </row>
    <row r="102" spans="1:5" x14ac:dyDescent="0.2">
      <c r="A102" s="21" t="s">
        <v>40</v>
      </c>
      <c r="B102" s="21" t="s">
        <v>224</v>
      </c>
      <c r="C102" s="21" t="s">
        <v>225</v>
      </c>
      <c r="D102" s="21" t="s">
        <v>53</v>
      </c>
      <c r="E102" s="27">
        <v>345.92201788900002</v>
      </c>
    </row>
    <row r="103" spans="1:5" x14ac:dyDescent="0.2">
      <c r="A103" s="21" t="s">
        <v>40</v>
      </c>
      <c r="B103" s="21" t="s">
        <v>226</v>
      </c>
      <c r="C103" s="21" t="s">
        <v>227</v>
      </c>
      <c r="D103" s="21" t="s">
        <v>53</v>
      </c>
      <c r="E103" s="27">
        <v>336.01715541930002</v>
      </c>
    </row>
    <row r="104" spans="1:5" x14ac:dyDescent="0.2">
      <c r="A104" s="21" t="s">
        <v>40</v>
      </c>
      <c r="B104" s="21" t="s">
        <v>228</v>
      </c>
      <c r="C104" s="21" t="s">
        <v>229</v>
      </c>
      <c r="D104" s="21" t="s">
        <v>53</v>
      </c>
      <c r="E104" s="27">
        <v>331.72262383359998</v>
      </c>
    </row>
    <row r="105" spans="1:5" x14ac:dyDescent="0.2">
      <c r="A105" s="21" t="s">
        <v>40</v>
      </c>
      <c r="B105" s="21" t="s">
        <v>230</v>
      </c>
      <c r="C105" s="21" t="s">
        <v>231</v>
      </c>
      <c r="D105" s="21" t="s">
        <v>53</v>
      </c>
      <c r="E105" s="27">
        <v>311.86159946330002</v>
      </c>
    </row>
    <row r="106" spans="1:5" x14ac:dyDescent="0.2">
      <c r="A106" s="21" t="s">
        <v>40</v>
      </c>
      <c r="B106" s="21" t="s">
        <v>232</v>
      </c>
      <c r="C106" s="21" t="s">
        <v>176</v>
      </c>
      <c r="D106" s="21" t="s">
        <v>53</v>
      </c>
      <c r="E106" s="27">
        <v>299.20678772539998</v>
      </c>
    </row>
    <row r="107" spans="1:5" x14ac:dyDescent="0.2">
      <c r="A107" s="21" t="s">
        <v>40</v>
      </c>
      <c r="B107" s="21" t="s">
        <v>233</v>
      </c>
      <c r="C107" s="21" t="s">
        <v>234</v>
      </c>
      <c r="D107" s="21" t="s">
        <v>53</v>
      </c>
      <c r="E107" s="27">
        <v>296.06977378649998</v>
      </c>
    </row>
    <row r="108" spans="1:5" x14ac:dyDescent="0.2">
      <c r="A108" s="21" t="s">
        <v>40</v>
      </c>
      <c r="B108" s="21" t="s">
        <v>235</v>
      </c>
      <c r="C108" s="21" t="s">
        <v>236</v>
      </c>
      <c r="D108" s="21" t="s">
        <v>53</v>
      </c>
      <c r="E108" s="27">
        <v>290.65629810619998</v>
      </c>
    </row>
    <row r="109" spans="1:5" x14ac:dyDescent="0.2">
      <c r="A109" s="21" t="s">
        <v>40</v>
      </c>
      <c r="B109" s="21" t="s">
        <v>237</v>
      </c>
      <c r="C109" s="21" t="s">
        <v>169</v>
      </c>
      <c r="D109" s="21" t="s">
        <v>53</v>
      </c>
      <c r="E109" s="27">
        <v>286.53169942070002</v>
      </c>
    </row>
    <row r="110" spans="1:5" x14ac:dyDescent="0.2">
      <c r="A110" s="21" t="s">
        <v>40</v>
      </c>
      <c r="B110" s="21" t="s">
        <v>238</v>
      </c>
      <c r="C110" s="21" t="s">
        <v>239</v>
      </c>
      <c r="D110" s="21" t="s">
        <v>53</v>
      </c>
      <c r="E110" s="27">
        <v>257.54641798030002</v>
      </c>
    </row>
    <row r="111" spans="1:5" x14ac:dyDescent="0.2">
      <c r="A111" s="21" t="s">
        <v>40</v>
      </c>
      <c r="B111" s="21" t="s">
        <v>240</v>
      </c>
      <c r="C111" s="21" t="s">
        <v>241</v>
      </c>
      <c r="D111" s="21" t="s">
        <v>53</v>
      </c>
      <c r="E111" s="27">
        <v>244.2875512</v>
      </c>
    </row>
    <row r="112" spans="1:5" x14ac:dyDescent="0.2">
      <c r="A112" s="21" t="s">
        <v>40</v>
      </c>
      <c r="B112" s="21" t="s">
        <v>242</v>
      </c>
      <c r="C112" s="21" t="s">
        <v>243</v>
      </c>
      <c r="D112" s="21" t="s">
        <v>53</v>
      </c>
      <c r="E112" s="27">
        <v>235.39070558220001</v>
      </c>
    </row>
    <row r="113" spans="1:5" x14ac:dyDescent="0.2">
      <c r="A113" s="21" t="s">
        <v>40</v>
      </c>
      <c r="B113" s="21" t="s">
        <v>244</v>
      </c>
      <c r="C113" s="21" t="s">
        <v>245</v>
      </c>
      <c r="D113" s="21" t="s">
        <v>53</v>
      </c>
      <c r="E113" s="27">
        <v>232.52719905640001</v>
      </c>
    </row>
    <row r="114" spans="1:5" x14ac:dyDescent="0.2">
      <c r="A114" s="21" t="s">
        <v>40</v>
      </c>
      <c r="B114" s="21" t="s">
        <v>246</v>
      </c>
      <c r="C114" s="21" t="s">
        <v>247</v>
      </c>
      <c r="D114" s="21" t="s">
        <v>53</v>
      </c>
      <c r="E114" s="27">
        <v>192.51253994480001</v>
      </c>
    </row>
    <row r="115" spans="1:5" x14ac:dyDescent="0.2">
      <c r="A115" s="21" t="s">
        <v>40</v>
      </c>
      <c r="B115" s="21" t="s">
        <v>248</v>
      </c>
      <c r="C115" s="21" t="s">
        <v>249</v>
      </c>
      <c r="D115" s="21" t="s">
        <v>53</v>
      </c>
      <c r="E115" s="27">
        <v>169.21878049439999</v>
      </c>
    </row>
    <row r="116" spans="1:5" x14ac:dyDescent="0.2">
      <c r="A116" s="21" t="s">
        <v>40</v>
      </c>
      <c r="B116" s="21" t="s">
        <v>250</v>
      </c>
      <c r="C116" s="21" t="s">
        <v>251</v>
      </c>
      <c r="D116" s="21" t="s">
        <v>53</v>
      </c>
      <c r="E116" s="27">
        <v>157.9643668683</v>
      </c>
    </row>
    <row r="117" spans="1:5" x14ac:dyDescent="0.2">
      <c r="A117" s="21" t="s">
        <v>40</v>
      </c>
      <c r="B117" s="21" t="s">
        <v>252</v>
      </c>
      <c r="C117" s="21" t="s">
        <v>176</v>
      </c>
      <c r="D117" s="21" t="s">
        <v>53</v>
      </c>
      <c r="E117" s="27">
        <v>127.59032442500001</v>
      </c>
    </row>
    <row r="118" spans="1:5" x14ac:dyDescent="0.2">
      <c r="A118" s="21" t="s">
        <v>40</v>
      </c>
      <c r="B118" s="21" t="s">
        <v>253</v>
      </c>
      <c r="C118" s="21" t="s">
        <v>254</v>
      </c>
      <c r="D118" s="21" t="s">
        <v>53</v>
      </c>
      <c r="E118" s="27">
        <v>101.6690386594</v>
      </c>
    </row>
    <row r="119" spans="1:5" x14ac:dyDescent="0.2">
      <c r="A119" s="21" t="s">
        <v>40</v>
      </c>
      <c r="B119" s="21" t="s">
        <v>255</v>
      </c>
      <c r="C119" s="21" t="s">
        <v>256</v>
      </c>
      <c r="D119" s="21" t="s">
        <v>53</v>
      </c>
      <c r="E119" s="27">
        <v>57.8631034402</v>
      </c>
    </row>
    <row r="120" spans="1:5" x14ac:dyDescent="0.2">
      <c r="A120" s="21" t="s">
        <v>40</v>
      </c>
      <c r="B120" s="21" t="s">
        <v>257</v>
      </c>
      <c r="C120" s="21" t="s">
        <v>258</v>
      </c>
      <c r="D120" s="21" t="s">
        <v>53</v>
      </c>
      <c r="E120" s="27">
        <v>21.655634854599999</v>
      </c>
    </row>
    <row r="121" spans="1:5" x14ac:dyDescent="0.2">
      <c r="A121" s="21" t="s">
        <v>40</v>
      </c>
      <c r="B121" s="21" t="s">
        <v>259</v>
      </c>
      <c r="C121" s="21" t="s">
        <v>211</v>
      </c>
      <c r="D121" s="21" t="s">
        <v>53</v>
      </c>
      <c r="E121" s="27">
        <v>18.092800642</v>
      </c>
    </row>
    <row r="122" spans="1:5" x14ac:dyDescent="0.2">
      <c r="A122" s="21" t="s">
        <v>40</v>
      </c>
      <c r="B122" s="21" t="s">
        <v>260</v>
      </c>
      <c r="C122" s="21" t="s">
        <v>261</v>
      </c>
      <c r="D122" s="21" t="s">
        <v>53</v>
      </c>
      <c r="E122" s="27">
        <v>10.7249101394</v>
      </c>
    </row>
    <row r="123" spans="1:5" x14ac:dyDescent="0.2">
      <c r="A123" s="21" t="s">
        <v>40</v>
      </c>
      <c r="B123" s="21" t="s">
        <v>262</v>
      </c>
      <c r="C123" s="21" t="s">
        <v>193</v>
      </c>
      <c r="D123" s="21" t="s">
        <v>53</v>
      </c>
      <c r="E123" s="27"/>
    </row>
    <row r="124" spans="1:5" x14ac:dyDescent="0.2">
      <c r="A124" s="21" t="s">
        <v>40</v>
      </c>
      <c r="B124" s="21" t="s">
        <v>155</v>
      </c>
      <c r="C124" s="21" t="s">
        <v>263</v>
      </c>
      <c r="D124" s="21" t="s">
        <v>53</v>
      </c>
      <c r="E124" s="27"/>
    </row>
    <row r="125" spans="1:5" x14ac:dyDescent="0.2">
      <c r="A125" s="21" t="s">
        <v>40</v>
      </c>
      <c r="B125" s="21" t="s">
        <v>228</v>
      </c>
      <c r="C125" s="21" t="s">
        <v>264</v>
      </c>
      <c r="D125" s="21" t="s">
        <v>53</v>
      </c>
      <c r="E125" s="27"/>
    </row>
    <row r="126" spans="1:5" x14ac:dyDescent="0.2">
      <c r="A126" s="21" t="s">
        <v>40</v>
      </c>
      <c r="B126" s="21" t="s">
        <v>62</v>
      </c>
      <c r="C126" s="21" t="s">
        <v>265</v>
      </c>
      <c r="D126" s="21" t="s">
        <v>53</v>
      </c>
      <c r="E126" s="27"/>
    </row>
    <row r="127" spans="1:5" x14ac:dyDescent="0.2">
      <c r="A127" s="21" t="s">
        <v>40</v>
      </c>
      <c r="B127" s="21" t="s">
        <v>189</v>
      </c>
      <c r="C127" s="21" t="s">
        <v>265</v>
      </c>
      <c r="D127" s="21" t="s">
        <v>53</v>
      </c>
      <c r="E127" s="27"/>
    </row>
    <row r="128" spans="1:5" x14ac:dyDescent="0.2">
      <c r="A128" s="21" t="s">
        <v>40</v>
      </c>
      <c r="B128" s="21" t="s">
        <v>220</v>
      </c>
      <c r="C128" s="21" t="s">
        <v>266</v>
      </c>
      <c r="D128" s="21" t="s">
        <v>53</v>
      </c>
      <c r="E128" s="27"/>
    </row>
    <row r="129" spans="1:5" x14ac:dyDescent="0.2">
      <c r="A129" s="21" t="s">
        <v>40</v>
      </c>
      <c r="B129" s="21" t="s">
        <v>267</v>
      </c>
      <c r="C129" s="21" t="s">
        <v>265</v>
      </c>
      <c r="D129" s="21" t="s">
        <v>53</v>
      </c>
      <c r="E129" s="27"/>
    </row>
    <row r="130" spans="1:5" x14ac:dyDescent="0.2">
      <c r="A130" s="21" t="s">
        <v>40</v>
      </c>
      <c r="B130" s="21" t="s">
        <v>268</v>
      </c>
      <c r="C130" s="21" t="s">
        <v>269</v>
      </c>
      <c r="D130" s="21" t="s">
        <v>53</v>
      </c>
      <c r="E130" s="27"/>
    </row>
    <row r="131" spans="1:5" x14ac:dyDescent="0.2">
      <c r="A131" s="21" t="s">
        <v>40</v>
      </c>
      <c r="B131" s="21" t="s">
        <v>73</v>
      </c>
      <c r="C131" s="21" t="s">
        <v>270</v>
      </c>
      <c r="D131" s="21" t="s">
        <v>53</v>
      </c>
      <c r="E131" s="27"/>
    </row>
    <row r="132" spans="1:5" x14ac:dyDescent="0.2">
      <c r="A132" s="21" t="s">
        <v>40</v>
      </c>
      <c r="B132" s="21" t="s">
        <v>100</v>
      </c>
      <c r="C132" s="21" t="s">
        <v>271</v>
      </c>
      <c r="D132" s="21" t="s">
        <v>53</v>
      </c>
      <c r="E132" s="27"/>
    </row>
    <row r="133" spans="1:5" x14ac:dyDescent="0.2">
      <c r="A133" s="21" t="s">
        <v>40</v>
      </c>
      <c r="B133" s="21" t="s">
        <v>83</v>
      </c>
      <c r="C133" s="21" t="s">
        <v>272</v>
      </c>
      <c r="D133" s="21" t="s">
        <v>53</v>
      </c>
      <c r="E133" s="27"/>
    </row>
    <row r="134" spans="1:5" x14ac:dyDescent="0.2">
      <c r="A134" s="21" t="s">
        <v>40</v>
      </c>
      <c r="B134" s="21" t="s">
        <v>75</v>
      </c>
      <c r="C134" s="21" t="s">
        <v>273</v>
      </c>
      <c r="D134" s="21" t="s">
        <v>53</v>
      </c>
      <c r="E134" s="27"/>
    </row>
    <row r="135" spans="1:5" x14ac:dyDescent="0.2">
      <c r="A135" s="21" t="s">
        <v>40</v>
      </c>
      <c r="B135" s="21" t="s">
        <v>274</v>
      </c>
      <c r="C135" s="21" t="s">
        <v>275</v>
      </c>
      <c r="D135" s="21" t="s">
        <v>53</v>
      </c>
      <c r="E135" s="27"/>
    </row>
    <row r="136" spans="1:5" x14ac:dyDescent="0.2">
      <c r="A136" s="21" t="s">
        <v>40</v>
      </c>
      <c r="B136" s="21" t="s">
        <v>276</v>
      </c>
      <c r="C136" s="21" t="s">
        <v>276</v>
      </c>
      <c r="D136" s="21" t="s">
        <v>53</v>
      </c>
      <c r="E136" s="27">
        <v>66870.8212244647</v>
      </c>
    </row>
    <row r="137" spans="1:5" x14ac:dyDescent="0.2">
      <c r="A137" s="21" t="s">
        <v>40</v>
      </c>
      <c r="B137" s="21" t="s">
        <v>277</v>
      </c>
      <c r="C137" s="21" t="s">
        <v>277</v>
      </c>
      <c r="D137" s="21" t="s">
        <v>53</v>
      </c>
      <c r="E137" s="27">
        <v>411803.42746431712</v>
      </c>
    </row>
  </sheetData>
  <autoFilter ref="A3:E137" xr:uid="{00000000-0009-0000-0000-000001000000}"/>
  <pageMargins left="0.38" right="0.38" top="0.75" bottom="0.75" header="0.3" footer="0.3"/>
  <pageSetup orientation="landscape" r:id="rId1"/>
  <headerFooter>
    <oddHeader>&amp;L&amp;F&amp;RBrand Share GBN</oddHeader>
    <oddFooter>&amp;L© Euromonitor International Ltd 2024&amp;CTuesday, July 30, 2024 9:25 AM&amp;R&amp;P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130"/>
  <sheetViews>
    <sheetView zoomScale="80" zoomScaleNormal="80" workbookViewId="0">
      <pane ySplit="3" topLeftCell="A4" activePane="bottomLeft" state="frozen"/>
      <selection pane="bottomLeft" activeCell="A4" sqref="A4"/>
    </sheetView>
  </sheetViews>
  <sheetFormatPr defaultColWidth="9" defaultRowHeight="12.75" x14ac:dyDescent="0.2"/>
  <cols>
    <col min="1" max="1" width="28.875" style="21" bestFit="1" customWidth="1"/>
    <col min="2" max="2" width="8" style="21" bestFit="1" customWidth="1"/>
    <col min="3" max="3" width="18.875" style="21" bestFit="1" customWidth="1"/>
    <col min="4" max="4" width="6.875" style="21" bestFit="1" customWidth="1"/>
    <col min="5" max="5" width="25.625" style="21" bestFit="1" customWidth="1"/>
    <col min="6" max="6" width="26.5" style="21" bestFit="1" customWidth="1"/>
    <col min="7" max="7" width="25.625" style="21" bestFit="1" customWidth="1"/>
    <col min="8" max="8" width="9.375" style="21" bestFit="1" customWidth="1"/>
    <col min="9" max="9" width="12.75" style="21" bestFit="1" customWidth="1"/>
    <col min="10" max="10" width="14.75" style="21" customWidth="1"/>
    <col min="11" max="11" width="19.25" style="21" bestFit="1" customWidth="1"/>
    <col min="12" max="13" width="29" style="21" bestFit="1" customWidth="1"/>
    <col min="14" max="15" width="29.5" style="21" bestFit="1" customWidth="1"/>
    <col min="16" max="21" width="8" style="21" bestFit="1" customWidth="1"/>
    <col min="22" max="22" width="16.25" style="21" bestFit="1" customWidth="1"/>
    <col min="23" max="23" width="19.875" style="21" bestFit="1" customWidth="1"/>
    <col min="24" max="24" width="9.375" style="21" bestFit="1" customWidth="1"/>
    <col min="25" max="30" width="8.625" style="21" bestFit="1" customWidth="1"/>
    <col min="31" max="31" width="25" style="21" bestFit="1" customWidth="1"/>
    <col min="32" max="32" width="9.375" style="21" bestFit="1" customWidth="1"/>
    <col min="33" max="38" width="8.625" style="21" bestFit="1" customWidth="1"/>
    <col min="39" max="44" width="9.5" style="21" bestFit="1" customWidth="1"/>
    <col min="45" max="16384" width="9" style="21"/>
  </cols>
  <sheetData>
    <row r="1" spans="1:44" s="23" customFormat="1" ht="75" customHeight="1" x14ac:dyDescent="0.2">
      <c r="P1" s="26"/>
      <c r="Q1" s="26"/>
      <c r="R1" s="26"/>
      <c r="S1" s="26"/>
      <c r="T1" s="26"/>
      <c r="U1" s="26"/>
      <c r="Y1" s="26"/>
      <c r="Z1" s="26"/>
      <c r="AA1" s="26"/>
      <c r="AB1" s="26"/>
      <c r="AC1" s="26"/>
      <c r="AD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</row>
    <row r="2" spans="1:44" x14ac:dyDescent="0.2">
      <c r="A2" s="29" t="s">
        <v>5</v>
      </c>
      <c r="B2" s="29" t="s">
        <v>6</v>
      </c>
      <c r="C2" s="29" t="s">
        <v>7</v>
      </c>
      <c r="D2" s="29" t="s">
        <v>8</v>
      </c>
      <c r="E2" s="29" t="s">
        <v>9</v>
      </c>
      <c r="F2" s="29" t="s">
        <v>10</v>
      </c>
      <c r="G2" s="29" t="s">
        <v>11</v>
      </c>
      <c r="H2" s="29" t="s">
        <v>12</v>
      </c>
      <c r="I2" s="29" t="s">
        <v>13</v>
      </c>
      <c r="J2" s="29" t="s">
        <v>14</v>
      </c>
      <c r="K2" s="29" t="s">
        <v>15</v>
      </c>
      <c r="L2" s="29" t="s">
        <v>279</v>
      </c>
      <c r="M2" s="29" t="s">
        <v>16</v>
      </c>
      <c r="N2" s="29" t="s">
        <v>280</v>
      </c>
      <c r="O2" s="29" t="s">
        <v>17</v>
      </c>
      <c r="P2" s="30" t="s">
        <v>18</v>
      </c>
      <c r="Q2" s="30" t="s">
        <v>19</v>
      </c>
      <c r="R2" s="30" t="s">
        <v>20</v>
      </c>
      <c r="S2" s="30" t="s">
        <v>21</v>
      </c>
      <c r="T2" s="30" t="s">
        <v>22</v>
      </c>
      <c r="U2" s="30" t="s">
        <v>23</v>
      </c>
      <c r="V2" s="29" t="s">
        <v>24</v>
      </c>
      <c r="W2" s="29" t="s">
        <v>25</v>
      </c>
      <c r="X2" s="29" t="s">
        <v>26</v>
      </c>
      <c r="Y2" s="30" t="s">
        <v>27</v>
      </c>
      <c r="Z2" s="30" t="s">
        <v>28</v>
      </c>
      <c r="AA2" s="30" t="s">
        <v>29</v>
      </c>
      <c r="AB2" s="30" t="s">
        <v>30</v>
      </c>
      <c r="AC2" s="30" t="s">
        <v>31</v>
      </c>
      <c r="AD2" s="30" t="s">
        <v>32</v>
      </c>
      <c r="AE2" s="29" t="s">
        <v>25</v>
      </c>
      <c r="AF2" s="29" t="s">
        <v>26</v>
      </c>
      <c r="AG2" s="30" t="s">
        <v>27</v>
      </c>
      <c r="AH2" s="30" t="s">
        <v>28</v>
      </c>
      <c r="AI2" s="30" t="s">
        <v>29</v>
      </c>
      <c r="AJ2" s="30" t="s">
        <v>30</v>
      </c>
      <c r="AK2" s="30" t="s">
        <v>31</v>
      </c>
      <c r="AL2" s="30" t="s">
        <v>32</v>
      </c>
      <c r="AM2" s="30" t="s">
        <v>33</v>
      </c>
      <c r="AN2" s="30" t="s">
        <v>34</v>
      </c>
      <c r="AO2" s="30" t="s">
        <v>35</v>
      </c>
      <c r="AP2" s="30" t="s">
        <v>36</v>
      </c>
      <c r="AQ2" s="30" t="s">
        <v>37</v>
      </c>
      <c r="AR2" s="30" t="s">
        <v>38</v>
      </c>
    </row>
    <row r="3" spans="1:44" x14ac:dyDescent="0.2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30"/>
      <c r="Q3" s="30"/>
      <c r="R3" s="30"/>
      <c r="S3" s="30"/>
      <c r="T3" s="30"/>
      <c r="U3" s="30"/>
      <c r="V3" s="29"/>
      <c r="W3" s="29"/>
      <c r="X3" s="29"/>
      <c r="Y3" s="30"/>
      <c r="Z3" s="30"/>
      <c r="AA3" s="30"/>
      <c r="AB3" s="30"/>
      <c r="AC3" s="30"/>
      <c r="AD3" s="30"/>
      <c r="AE3" s="29"/>
      <c r="AF3" s="29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</row>
    <row r="4" spans="1:44" x14ac:dyDescent="0.2">
      <c r="A4" s="21" t="s">
        <v>39</v>
      </c>
      <c r="B4" s="21" t="s">
        <v>40</v>
      </c>
      <c r="C4" s="21" t="s">
        <v>41</v>
      </c>
      <c r="D4" s="21">
        <v>2024</v>
      </c>
      <c r="E4" s="21" t="s">
        <v>42</v>
      </c>
      <c r="F4" s="21" t="s">
        <v>43</v>
      </c>
      <c r="G4" s="21" t="s">
        <v>44</v>
      </c>
      <c r="H4" s="21">
        <v>714778</v>
      </c>
      <c r="I4" s="21" t="s">
        <v>45</v>
      </c>
      <c r="J4" s="21">
        <v>2</v>
      </c>
      <c r="K4" s="21" t="s">
        <v>46</v>
      </c>
      <c r="L4" s="21" t="s">
        <v>47</v>
      </c>
      <c r="M4" s="21" t="s">
        <v>47</v>
      </c>
      <c r="N4" s="21" t="s">
        <v>48</v>
      </c>
      <c r="O4" s="21" t="s">
        <v>48</v>
      </c>
      <c r="P4" s="27">
        <v>11.3947837416</v>
      </c>
      <c r="Q4" s="27">
        <v>11.463804723699999</v>
      </c>
      <c r="R4" s="27">
        <v>12.3664452979</v>
      </c>
      <c r="S4" s="27">
        <v>11.992863722899999</v>
      </c>
      <c r="T4" s="27">
        <v>11.7582615878</v>
      </c>
      <c r="U4" s="27">
        <v>11.964477457699999</v>
      </c>
      <c r="V4" s="21" t="s">
        <v>49</v>
      </c>
      <c r="W4" s="21" t="s">
        <v>50</v>
      </c>
      <c r="X4" s="21" t="s">
        <v>51</v>
      </c>
      <c r="Y4" s="27">
        <v>38524.6015625</v>
      </c>
      <c r="Z4" s="27">
        <v>40413</v>
      </c>
      <c r="AA4" s="27">
        <v>40518</v>
      </c>
      <c r="AB4" s="27">
        <v>45961</v>
      </c>
      <c r="AC4" s="27">
        <v>48734</v>
      </c>
      <c r="AD4" s="27">
        <v>53169</v>
      </c>
      <c r="AE4" s="21" t="s">
        <v>52</v>
      </c>
      <c r="AF4" s="21" t="s">
        <v>53</v>
      </c>
      <c r="AG4" s="27">
        <v>32636.5123106746</v>
      </c>
      <c r="AH4" s="27">
        <v>36100.450502352098</v>
      </c>
      <c r="AI4" s="27">
        <v>35553.540446667197</v>
      </c>
      <c r="AJ4" s="27">
        <v>38854.352274915102</v>
      </c>
      <c r="AK4" s="27">
        <v>46341.917631802702</v>
      </c>
      <c r="AL4" s="27">
        <v>49270.128248807203</v>
      </c>
      <c r="AM4" s="28">
        <v>1</v>
      </c>
      <c r="AN4" s="28">
        <v>1</v>
      </c>
      <c r="AO4" s="28">
        <v>1</v>
      </c>
      <c r="AP4" s="28">
        <v>1</v>
      </c>
      <c r="AQ4" s="28">
        <v>1</v>
      </c>
      <c r="AR4" s="28">
        <v>1</v>
      </c>
    </row>
    <row r="5" spans="1:44" x14ac:dyDescent="0.2">
      <c r="A5" s="21" t="s">
        <v>39</v>
      </c>
      <c r="B5" s="21" t="s">
        <v>40</v>
      </c>
      <c r="C5" s="21" t="s">
        <v>41</v>
      </c>
      <c r="D5" s="21">
        <v>2024</v>
      </c>
      <c r="E5" s="21" t="s">
        <v>42</v>
      </c>
      <c r="F5" s="21" t="s">
        <v>43</v>
      </c>
      <c r="G5" s="21" t="s">
        <v>44</v>
      </c>
      <c r="H5" s="21">
        <v>714778</v>
      </c>
      <c r="I5" s="21" t="s">
        <v>45</v>
      </c>
      <c r="J5" s="21">
        <v>2</v>
      </c>
      <c r="K5" s="21" t="s">
        <v>46</v>
      </c>
      <c r="L5" s="21" t="s">
        <v>54</v>
      </c>
      <c r="M5" s="21" t="s">
        <v>54</v>
      </c>
      <c r="N5" s="21" t="s">
        <v>55</v>
      </c>
      <c r="O5" s="21" t="s">
        <v>55</v>
      </c>
      <c r="P5" s="27">
        <v>5.2373434005000004</v>
      </c>
      <c r="Q5" s="27">
        <v>5.3116707371</v>
      </c>
      <c r="R5" s="27">
        <v>4.8863695075000004</v>
      </c>
      <c r="S5" s="27">
        <v>5.5666030525999997</v>
      </c>
      <c r="T5" s="27">
        <v>5.7905578559000004</v>
      </c>
      <c r="U5" s="27">
        <v>5.7516731421999996</v>
      </c>
      <c r="V5" s="21" t="s">
        <v>49</v>
      </c>
      <c r="W5" s="21" t="s">
        <v>50</v>
      </c>
      <c r="X5" s="21" t="s">
        <v>51</v>
      </c>
      <c r="Y5" s="27">
        <v>17706.923828125</v>
      </c>
      <c r="Z5" s="27">
        <v>18725.0703125</v>
      </c>
      <c r="AA5" s="27">
        <v>16009.9296875</v>
      </c>
      <c r="AB5" s="27">
        <v>21333.240234375</v>
      </c>
      <c r="AC5" s="27">
        <v>23999.895260000001</v>
      </c>
      <c r="AD5" s="27">
        <v>25559.888459999998</v>
      </c>
      <c r="AE5" s="21" t="s">
        <v>52</v>
      </c>
      <c r="AF5" s="21" t="s">
        <v>53</v>
      </c>
      <c r="AG5" s="27">
        <v>15000.6025776345</v>
      </c>
      <c r="AH5" s="27">
        <v>16726.881794706402</v>
      </c>
      <c r="AI5" s="27">
        <v>14048.316370324999</v>
      </c>
      <c r="AJ5" s="27">
        <v>18034.621336171898</v>
      </c>
      <c r="AK5" s="27">
        <v>22821.873216046599</v>
      </c>
      <c r="AL5" s="27">
        <v>23685.587136290102</v>
      </c>
      <c r="AM5" s="28">
        <v>2</v>
      </c>
      <c r="AN5" s="28">
        <v>2</v>
      </c>
      <c r="AO5" s="28">
        <v>2</v>
      </c>
      <c r="AP5" s="28">
        <v>2</v>
      </c>
      <c r="AQ5" s="28">
        <v>2</v>
      </c>
      <c r="AR5" s="28">
        <v>2</v>
      </c>
    </row>
    <row r="6" spans="1:44" x14ac:dyDescent="0.2">
      <c r="A6" s="21" t="s">
        <v>39</v>
      </c>
      <c r="B6" s="21" t="s">
        <v>40</v>
      </c>
      <c r="C6" s="21" t="s">
        <v>41</v>
      </c>
      <c r="D6" s="21">
        <v>2024</v>
      </c>
      <c r="E6" s="21" t="s">
        <v>42</v>
      </c>
      <c r="F6" s="21" t="s">
        <v>43</v>
      </c>
      <c r="G6" s="21" t="s">
        <v>44</v>
      </c>
      <c r="H6" s="21">
        <v>714778</v>
      </c>
      <c r="I6" s="21" t="s">
        <v>45</v>
      </c>
      <c r="J6" s="21">
        <v>2</v>
      </c>
      <c r="K6" s="21" t="s">
        <v>46</v>
      </c>
      <c r="L6" s="21" t="s">
        <v>56</v>
      </c>
      <c r="M6" s="21" t="s">
        <v>56</v>
      </c>
      <c r="N6" s="21" t="s">
        <v>281</v>
      </c>
      <c r="O6" s="21" t="s">
        <v>57</v>
      </c>
      <c r="P6" s="27">
        <v>3.1413543481000001</v>
      </c>
      <c r="Q6" s="27">
        <v>3.6836219568000002</v>
      </c>
      <c r="R6" s="27">
        <v>4.4361616678000004</v>
      </c>
      <c r="S6" s="27">
        <v>4.5319304876000004</v>
      </c>
      <c r="T6" s="27">
        <v>4.6597828045999998</v>
      </c>
      <c r="U6" s="27">
        <v>4.7241030841000002</v>
      </c>
      <c r="V6" s="21" t="s">
        <v>49</v>
      </c>
      <c r="W6" s="21" t="s">
        <v>50</v>
      </c>
      <c r="X6" s="21" t="s">
        <v>51</v>
      </c>
      <c r="Y6" s="27">
        <v>10620.5986328125</v>
      </c>
      <c r="Z6" s="27">
        <v>12985.759765625</v>
      </c>
      <c r="AA6" s="27">
        <v>14534.84765625</v>
      </c>
      <c r="AB6" s="27">
        <v>17368</v>
      </c>
      <c r="AC6" s="27">
        <v>19313.216796875</v>
      </c>
      <c r="AD6" s="27">
        <v>20993.46484375</v>
      </c>
      <c r="AE6" s="21" t="s">
        <v>52</v>
      </c>
      <c r="AF6" s="21" t="s">
        <v>53</v>
      </c>
      <c r="AG6" s="27">
        <v>8997.3493292120002</v>
      </c>
      <c r="AH6" s="27">
        <v>11600.0241915814</v>
      </c>
      <c r="AI6" s="27">
        <v>12753.968459268201</v>
      </c>
      <c r="AJ6" s="27">
        <v>14682.500169942499</v>
      </c>
      <c r="AK6" s="27">
        <v>18365.237862804799</v>
      </c>
      <c r="AL6" s="27">
        <v>19454.0184174686</v>
      </c>
      <c r="AM6" s="28">
        <v>3</v>
      </c>
      <c r="AN6" s="28">
        <v>3</v>
      </c>
      <c r="AO6" s="28">
        <v>3</v>
      </c>
      <c r="AP6" s="28">
        <v>3</v>
      </c>
      <c r="AQ6" s="28">
        <v>3</v>
      </c>
      <c r="AR6" s="28">
        <v>3</v>
      </c>
    </row>
    <row r="7" spans="1:44" x14ac:dyDescent="0.2">
      <c r="A7" s="21" t="s">
        <v>39</v>
      </c>
      <c r="B7" s="21" t="s">
        <v>40</v>
      </c>
      <c r="C7" s="21" t="s">
        <v>41</v>
      </c>
      <c r="D7" s="21">
        <v>2024</v>
      </c>
      <c r="E7" s="21" t="s">
        <v>42</v>
      </c>
      <c r="F7" s="21" t="s">
        <v>43</v>
      </c>
      <c r="G7" s="21" t="s">
        <v>44</v>
      </c>
      <c r="H7" s="21">
        <v>714778</v>
      </c>
      <c r="I7" s="21" t="s">
        <v>45</v>
      </c>
      <c r="J7" s="21">
        <v>2</v>
      </c>
      <c r="K7" s="21" t="s">
        <v>46</v>
      </c>
      <c r="L7" s="21" t="s">
        <v>58</v>
      </c>
      <c r="M7" s="21" t="s">
        <v>58</v>
      </c>
      <c r="N7" s="21" t="s">
        <v>59</v>
      </c>
      <c r="O7" s="21" t="s">
        <v>59</v>
      </c>
      <c r="P7" s="27">
        <v>3.0466965618000001</v>
      </c>
      <c r="Q7" s="27">
        <v>3.1599371903</v>
      </c>
      <c r="R7" s="27">
        <v>3.4059410944000001</v>
      </c>
      <c r="S7" s="27">
        <v>3.3364119853999998</v>
      </c>
      <c r="T7" s="27">
        <v>3.3966027683000002</v>
      </c>
      <c r="U7" s="27">
        <v>3.3421151726999998</v>
      </c>
      <c r="V7" s="21" t="s">
        <v>49</v>
      </c>
      <c r="W7" s="21" t="s">
        <v>50</v>
      </c>
      <c r="X7" s="21" t="s">
        <v>51</v>
      </c>
      <c r="Y7" s="27">
        <v>10300.5703125</v>
      </c>
      <c r="Z7" s="27">
        <v>11139.6298828125</v>
      </c>
      <c r="AA7" s="27">
        <v>11159.384765625</v>
      </c>
      <c r="AB7" s="27">
        <v>12786.33984375</v>
      </c>
      <c r="AC7" s="27">
        <v>14077.7646484375</v>
      </c>
      <c r="AD7" s="27">
        <v>14852.0419921875</v>
      </c>
      <c r="AE7" s="21" t="s">
        <v>52</v>
      </c>
      <c r="AF7" s="21" t="s">
        <v>53</v>
      </c>
      <c r="AG7" s="27">
        <v>8726.2340472356009</v>
      </c>
      <c r="AH7" s="27">
        <v>9950.8984039539991</v>
      </c>
      <c r="AI7" s="27">
        <v>9792.0834598097008</v>
      </c>
      <c r="AJ7" s="27">
        <v>10809.2720479503</v>
      </c>
      <c r="AK7" s="27">
        <v>13386.7650875733</v>
      </c>
      <c r="AL7" s="27">
        <v>13762.9448308553</v>
      </c>
      <c r="AM7" s="28">
        <v>5</v>
      </c>
      <c r="AN7" s="28">
        <v>4</v>
      </c>
      <c r="AO7" s="28">
        <v>4</v>
      </c>
      <c r="AP7" s="28">
        <v>4</v>
      </c>
      <c r="AQ7" s="28">
        <v>4</v>
      </c>
      <c r="AR7" s="28">
        <v>4</v>
      </c>
    </row>
    <row r="8" spans="1:44" x14ac:dyDescent="0.2">
      <c r="A8" s="21" t="s">
        <v>39</v>
      </c>
      <c r="B8" s="21" t="s">
        <v>40</v>
      </c>
      <c r="C8" s="21" t="s">
        <v>41</v>
      </c>
      <c r="D8" s="21">
        <v>2024</v>
      </c>
      <c r="E8" s="21" t="s">
        <v>42</v>
      </c>
      <c r="F8" s="21" t="s">
        <v>43</v>
      </c>
      <c r="G8" s="21" t="s">
        <v>44</v>
      </c>
      <c r="H8" s="21">
        <v>714778</v>
      </c>
      <c r="I8" s="21" t="s">
        <v>45</v>
      </c>
      <c r="J8" s="21">
        <v>2</v>
      </c>
      <c r="K8" s="21" t="s">
        <v>46</v>
      </c>
      <c r="L8" s="21" t="s">
        <v>60</v>
      </c>
      <c r="M8" s="21" t="s">
        <v>60</v>
      </c>
      <c r="N8" s="21" t="s">
        <v>61</v>
      </c>
      <c r="O8" s="21" t="s">
        <v>61</v>
      </c>
      <c r="P8" s="27">
        <v>2.7796765043999998</v>
      </c>
      <c r="Q8" s="27">
        <v>2.6834515535999999</v>
      </c>
      <c r="R8" s="27">
        <v>3.1107360461</v>
      </c>
      <c r="S8" s="27">
        <v>3.0290496575999999</v>
      </c>
      <c r="T8" s="27">
        <v>2.9492554816999998</v>
      </c>
      <c r="U8" s="27">
        <v>2.9184480666999999</v>
      </c>
      <c r="V8" s="21" t="s">
        <v>49</v>
      </c>
      <c r="W8" s="21" t="s">
        <v>50</v>
      </c>
      <c r="X8" s="21" t="s">
        <v>51</v>
      </c>
      <c r="Y8" s="27">
        <v>9397.802734375</v>
      </c>
      <c r="Z8" s="27">
        <v>9459.8896484375</v>
      </c>
      <c r="AA8" s="27">
        <v>10192.1611328125</v>
      </c>
      <c r="AB8" s="27">
        <v>11608.416015625</v>
      </c>
      <c r="AC8" s="27">
        <v>12223.662109375</v>
      </c>
      <c r="AD8" s="27">
        <v>12969.3056640625</v>
      </c>
      <c r="AE8" s="21" t="s">
        <v>52</v>
      </c>
      <c r="AF8" s="21" t="s">
        <v>53</v>
      </c>
      <c r="AG8" s="27">
        <v>7961.4452114742999</v>
      </c>
      <c r="AH8" s="27">
        <v>8450.4065031333994</v>
      </c>
      <c r="AI8" s="27">
        <v>8943.3687021668993</v>
      </c>
      <c r="AJ8" s="27">
        <v>9813.4828490429009</v>
      </c>
      <c r="AK8" s="27">
        <v>11623.6701816318</v>
      </c>
      <c r="AL8" s="27">
        <v>12018.2691674912</v>
      </c>
      <c r="AM8" s="28">
        <v>7</v>
      </c>
      <c r="AN8" s="28">
        <v>7</v>
      </c>
      <c r="AO8" s="28">
        <v>5</v>
      </c>
      <c r="AP8" s="28">
        <v>5</v>
      </c>
      <c r="AQ8" s="28">
        <v>5</v>
      </c>
      <c r="AR8" s="28">
        <v>5</v>
      </c>
    </row>
    <row r="9" spans="1:44" x14ac:dyDescent="0.2">
      <c r="A9" s="21" t="s">
        <v>39</v>
      </c>
      <c r="B9" s="21" t="s">
        <v>40</v>
      </c>
      <c r="C9" s="21" t="s">
        <v>41</v>
      </c>
      <c r="D9" s="21">
        <v>2024</v>
      </c>
      <c r="E9" s="21" t="s">
        <v>42</v>
      </c>
      <c r="F9" s="21" t="s">
        <v>43</v>
      </c>
      <c r="G9" s="21" t="s">
        <v>44</v>
      </c>
      <c r="H9" s="21">
        <v>714778</v>
      </c>
      <c r="I9" s="21" t="s">
        <v>45</v>
      </c>
      <c r="J9" s="21">
        <v>2</v>
      </c>
      <c r="K9" s="21" t="s">
        <v>46</v>
      </c>
      <c r="L9" s="21" t="s">
        <v>62</v>
      </c>
      <c r="M9" s="21" t="s">
        <v>62</v>
      </c>
      <c r="N9" s="21" t="s">
        <v>281</v>
      </c>
      <c r="O9" s="21" t="s">
        <v>63</v>
      </c>
      <c r="P9" s="27"/>
      <c r="Q9" s="27">
        <v>2.6178141166</v>
      </c>
      <c r="R9" s="27">
        <v>2.6742384545000002</v>
      </c>
      <c r="S9" s="27">
        <v>2.7252902295000001</v>
      </c>
      <c r="T9" s="27">
        <v>2.7366560693999999</v>
      </c>
      <c r="U9" s="27">
        <v>2.6825456006000001</v>
      </c>
      <c r="V9" s="21" t="s">
        <v>49</v>
      </c>
      <c r="W9" s="21" t="s">
        <v>50</v>
      </c>
      <c r="X9" s="21" t="s">
        <v>51</v>
      </c>
      <c r="Y9" s="27"/>
      <c r="Z9" s="27">
        <v>9228.5</v>
      </c>
      <c r="AA9" s="27">
        <v>8762</v>
      </c>
      <c r="AB9" s="27">
        <v>10444.2998046875</v>
      </c>
      <c r="AC9" s="27">
        <v>11342.509765625</v>
      </c>
      <c r="AD9" s="27">
        <v>11920.9775390625</v>
      </c>
      <c r="AE9" s="21" t="s">
        <v>52</v>
      </c>
      <c r="AF9" s="21" t="s">
        <v>53</v>
      </c>
      <c r="AG9" s="27"/>
      <c r="AH9" s="27">
        <v>8243.7088922118</v>
      </c>
      <c r="AI9" s="27">
        <v>7688.4377657757004</v>
      </c>
      <c r="AJ9" s="27">
        <v>8829.3662861155008</v>
      </c>
      <c r="AK9" s="27">
        <v>10785.768730178401</v>
      </c>
      <c r="AL9" s="27">
        <v>11046.8147266407</v>
      </c>
      <c r="AM9" s="28"/>
      <c r="AN9" s="28">
        <v>8</v>
      </c>
      <c r="AO9" s="28">
        <v>8</v>
      </c>
      <c r="AP9" s="28">
        <v>6</v>
      </c>
      <c r="AQ9" s="28">
        <v>6</v>
      </c>
      <c r="AR9" s="28">
        <v>6</v>
      </c>
    </row>
    <row r="10" spans="1:44" x14ac:dyDescent="0.2">
      <c r="A10" s="21" t="s">
        <v>39</v>
      </c>
      <c r="B10" s="21" t="s">
        <v>40</v>
      </c>
      <c r="C10" s="21" t="s">
        <v>41</v>
      </c>
      <c r="D10" s="21">
        <v>2024</v>
      </c>
      <c r="E10" s="21" t="s">
        <v>42</v>
      </c>
      <c r="F10" s="21" t="s">
        <v>43</v>
      </c>
      <c r="G10" s="21" t="s">
        <v>44</v>
      </c>
      <c r="H10" s="21">
        <v>714778</v>
      </c>
      <c r="I10" s="21" t="s">
        <v>45</v>
      </c>
      <c r="J10" s="21">
        <v>2</v>
      </c>
      <c r="K10" s="21" t="s">
        <v>46</v>
      </c>
      <c r="L10" s="21" t="s">
        <v>64</v>
      </c>
      <c r="M10" s="21" t="s">
        <v>64</v>
      </c>
      <c r="N10" s="21" t="s">
        <v>281</v>
      </c>
      <c r="O10" s="21" t="s">
        <v>65</v>
      </c>
      <c r="P10" s="27">
        <v>3.0791522858000002</v>
      </c>
      <c r="Q10" s="27">
        <v>2.8744838843</v>
      </c>
      <c r="R10" s="27">
        <v>2.8110908672999999</v>
      </c>
      <c r="S10" s="27">
        <v>2.4778220633000001</v>
      </c>
      <c r="T10" s="27">
        <v>2.4295732655000002</v>
      </c>
      <c r="U10" s="27">
        <v>2.5406406052000001</v>
      </c>
      <c r="V10" s="21" t="s">
        <v>49</v>
      </c>
      <c r="W10" s="21" t="s">
        <v>50</v>
      </c>
      <c r="X10" s="21" t="s">
        <v>51</v>
      </c>
      <c r="Y10" s="27">
        <v>10410.2998046875</v>
      </c>
      <c r="Z10" s="27">
        <v>10133.330078125</v>
      </c>
      <c r="AA10" s="27">
        <v>9210.3896484375</v>
      </c>
      <c r="AB10" s="27">
        <v>9495.912109375</v>
      </c>
      <c r="AC10" s="27">
        <v>10069.755859375</v>
      </c>
      <c r="AD10" s="27">
        <v>11290.365234375</v>
      </c>
      <c r="AE10" s="21" t="s">
        <v>52</v>
      </c>
      <c r="AF10" s="21" t="s">
        <v>53</v>
      </c>
      <c r="AG10" s="27">
        <v>8819.1925147439997</v>
      </c>
      <c r="AH10" s="27">
        <v>9051.9828003204002</v>
      </c>
      <c r="AI10" s="27">
        <v>8081.8885654594997</v>
      </c>
      <c r="AJ10" s="27">
        <v>8027.6215545634004</v>
      </c>
      <c r="AK10" s="27">
        <v>9575.4872698223007</v>
      </c>
      <c r="AL10" s="27">
        <v>10462.4450915671</v>
      </c>
      <c r="AM10" s="28">
        <v>4</v>
      </c>
      <c r="AN10" s="28">
        <v>6</v>
      </c>
      <c r="AO10" s="28">
        <v>7</v>
      </c>
      <c r="AP10" s="28">
        <v>8</v>
      </c>
      <c r="AQ10" s="28">
        <v>8</v>
      </c>
      <c r="AR10" s="28">
        <v>7</v>
      </c>
    </row>
    <row r="11" spans="1:44" x14ac:dyDescent="0.2">
      <c r="A11" s="21" t="s">
        <v>39</v>
      </c>
      <c r="B11" s="21" t="s">
        <v>40</v>
      </c>
      <c r="C11" s="21" t="s">
        <v>41</v>
      </c>
      <c r="D11" s="21">
        <v>2024</v>
      </c>
      <c r="E11" s="21" t="s">
        <v>42</v>
      </c>
      <c r="F11" s="21" t="s">
        <v>43</v>
      </c>
      <c r="G11" s="21" t="s">
        <v>44</v>
      </c>
      <c r="H11" s="21">
        <v>714778</v>
      </c>
      <c r="I11" s="21" t="s">
        <v>45</v>
      </c>
      <c r="J11" s="21">
        <v>2</v>
      </c>
      <c r="K11" s="21" t="s">
        <v>46</v>
      </c>
      <c r="L11" s="21" t="s">
        <v>66</v>
      </c>
      <c r="M11" s="21" t="s">
        <v>66</v>
      </c>
      <c r="N11" s="21" t="s">
        <v>282</v>
      </c>
      <c r="O11" s="21" t="s">
        <v>67</v>
      </c>
      <c r="P11" s="27">
        <v>2.9397515098000002</v>
      </c>
      <c r="Q11" s="27">
        <v>2.8945305569999999</v>
      </c>
      <c r="R11" s="27">
        <v>2.9474002231999998</v>
      </c>
      <c r="S11" s="27">
        <v>2.6179674448000001</v>
      </c>
      <c r="T11" s="27">
        <v>2.4798172241000001</v>
      </c>
      <c r="U11" s="27">
        <v>2.4631490200999999</v>
      </c>
      <c r="V11" s="21" t="s">
        <v>49</v>
      </c>
      <c r="W11" s="21" t="s">
        <v>50</v>
      </c>
      <c r="X11" s="21" t="s">
        <v>51</v>
      </c>
      <c r="Y11" s="27">
        <v>9939</v>
      </c>
      <c r="Z11" s="27">
        <v>10204</v>
      </c>
      <c r="AA11" s="27">
        <v>9657</v>
      </c>
      <c r="AB11" s="27">
        <v>10033</v>
      </c>
      <c r="AC11" s="27">
        <v>10278</v>
      </c>
      <c r="AD11" s="27">
        <v>10946</v>
      </c>
      <c r="AE11" s="21" t="s">
        <v>52</v>
      </c>
      <c r="AF11" s="21" t="s">
        <v>53</v>
      </c>
      <c r="AG11" s="27">
        <v>8419.9260394568992</v>
      </c>
      <c r="AH11" s="27">
        <v>9115.1113979660004</v>
      </c>
      <c r="AI11" s="27">
        <v>8473.7780762492002</v>
      </c>
      <c r="AJ11" s="27">
        <v>8481.6630703036008</v>
      </c>
      <c r="AK11" s="27">
        <v>9773.5098579979003</v>
      </c>
      <c r="AL11" s="27">
        <v>10143.332088462101</v>
      </c>
      <c r="AM11" s="28">
        <v>6</v>
      </c>
      <c r="AN11" s="28">
        <v>5</v>
      </c>
      <c r="AO11" s="28">
        <v>6</v>
      </c>
      <c r="AP11" s="28">
        <v>7</v>
      </c>
      <c r="AQ11" s="28">
        <v>7</v>
      </c>
      <c r="AR11" s="28">
        <v>8</v>
      </c>
    </row>
    <row r="12" spans="1:44" x14ac:dyDescent="0.2">
      <c r="A12" s="21" t="s">
        <v>39</v>
      </c>
      <c r="B12" s="21" t="s">
        <v>40</v>
      </c>
      <c r="C12" s="21" t="s">
        <v>41</v>
      </c>
      <c r="D12" s="21">
        <v>2024</v>
      </c>
      <c r="E12" s="21" t="s">
        <v>42</v>
      </c>
      <c r="F12" s="21" t="s">
        <v>43</v>
      </c>
      <c r="G12" s="21" t="s">
        <v>44</v>
      </c>
      <c r="H12" s="21">
        <v>714778</v>
      </c>
      <c r="I12" s="21" t="s">
        <v>45</v>
      </c>
      <c r="J12" s="21">
        <v>2</v>
      </c>
      <c r="K12" s="21" t="s">
        <v>46</v>
      </c>
      <c r="L12" s="21" t="s">
        <v>68</v>
      </c>
      <c r="M12" s="21" t="s">
        <v>68</v>
      </c>
      <c r="N12" s="21" t="s">
        <v>69</v>
      </c>
      <c r="O12" s="21" t="s">
        <v>69</v>
      </c>
      <c r="P12" s="27">
        <v>1.4534032395000001</v>
      </c>
      <c r="Q12" s="27">
        <v>1.6100897139999999</v>
      </c>
      <c r="R12" s="27">
        <v>1.8481765573</v>
      </c>
      <c r="S12" s="27">
        <v>1.8777686680000001</v>
      </c>
      <c r="T12" s="27">
        <v>2.0648256690000002</v>
      </c>
      <c r="U12" s="27">
        <v>2.2050226891000002</v>
      </c>
      <c r="V12" s="21" t="s">
        <v>49</v>
      </c>
      <c r="W12" s="21" t="s">
        <v>50</v>
      </c>
      <c r="X12" s="21" t="s">
        <v>51</v>
      </c>
      <c r="Y12" s="27">
        <v>4913.8081054688</v>
      </c>
      <c r="Z12" s="27">
        <v>5676</v>
      </c>
      <c r="AA12" s="27">
        <v>6055.4521484375</v>
      </c>
      <c r="AB12" s="27">
        <v>7196.2900390625</v>
      </c>
      <c r="AC12" s="27">
        <v>8558.0009765625</v>
      </c>
      <c r="AD12" s="27">
        <v>9798.9111328125</v>
      </c>
      <c r="AE12" s="21" t="s">
        <v>52</v>
      </c>
      <c r="AF12" s="21" t="s">
        <v>53</v>
      </c>
      <c r="AG12" s="27">
        <v>4162.7830586708997</v>
      </c>
      <c r="AH12" s="27">
        <v>5070.3030473201998</v>
      </c>
      <c r="AI12" s="27">
        <v>5313.5091288397998</v>
      </c>
      <c r="AJ12" s="27">
        <v>6083.5749494178999</v>
      </c>
      <c r="AK12" s="27">
        <v>8137.9360682222996</v>
      </c>
      <c r="AL12" s="27">
        <v>9080.3590101814007</v>
      </c>
      <c r="AM12" s="28">
        <v>12</v>
      </c>
      <c r="AN12" s="28">
        <v>11</v>
      </c>
      <c r="AO12" s="28">
        <v>10</v>
      </c>
      <c r="AP12" s="28">
        <v>10</v>
      </c>
      <c r="AQ12" s="28">
        <v>10</v>
      </c>
      <c r="AR12" s="28">
        <v>9</v>
      </c>
    </row>
    <row r="13" spans="1:44" x14ac:dyDescent="0.2">
      <c r="A13" s="21" t="s">
        <v>39</v>
      </c>
      <c r="B13" s="21" t="s">
        <v>40</v>
      </c>
      <c r="C13" s="21" t="s">
        <v>41</v>
      </c>
      <c r="D13" s="21">
        <v>2024</v>
      </c>
      <c r="E13" s="21" t="s">
        <v>42</v>
      </c>
      <c r="F13" s="21" t="s">
        <v>43</v>
      </c>
      <c r="G13" s="21" t="s">
        <v>44</v>
      </c>
      <c r="H13" s="21">
        <v>714778</v>
      </c>
      <c r="I13" s="21" t="s">
        <v>45</v>
      </c>
      <c r="J13" s="21">
        <v>2</v>
      </c>
      <c r="K13" s="21" t="s">
        <v>46</v>
      </c>
      <c r="L13" s="21" t="s">
        <v>70</v>
      </c>
      <c r="M13" s="21" t="s">
        <v>70</v>
      </c>
      <c r="N13" s="21" t="s">
        <v>71</v>
      </c>
      <c r="O13" s="21" t="s">
        <v>71</v>
      </c>
      <c r="P13" s="27">
        <v>2.0231367650999998</v>
      </c>
      <c r="Q13" s="27">
        <v>1.9937426571000001</v>
      </c>
      <c r="R13" s="27">
        <v>2.51521281</v>
      </c>
      <c r="S13" s="27">
        <v>2.3516991703999999</v>
      </c>
      <c r="T13" s="27">
        <v>2.2245132037999999</v>
      </c>
      <c r="U13" s="27">
        <v>2.1348853659999998</v>
      </c>
      <c r="V13" s="21" t="s">
        <v>49</v>
      </c>
      <c r="W13" s="21" t="s">
        <v>50</v>
      </c>
      <c r="X13" s="21" t="s">
        <v>51</v>
      </c>
      <c r="Y13" s="27">
        <v>6840.0190429688</v>
      </c>
      <c r="Z13" s="27">
        <v>7028.4799804688</v>
      </c>
      <c r="AA13" s="27">
        <v>8240.9609375</v>
      </c>
      <c r="AB13" s="27">
        <v>9012.5634765625</v>
      </c>
      <c r="AC13" s="27">
        <v>9219.8515625</v>
      </c>
      <c r="AD13" s="27">
        <v>9487.2275390625</v>
      </c>
      <c r="AE13" s="21" t="s">
        <v>52</v>
      </c>
      <c r="AF13" s="21" t="s">
        <v>53</v>
      </c>
      <c r="AG13" s="27">
        <v>5794.5924590273999</v>
      </c>
      <c r="AH13" s="27">
        <v>6278.4572697321</v>
      </c>
      <c r="AI13" s="27">
        <v>7231.2389064319996</v>
      </c>
      <c r="AJ13" s="27">
        <v>7619.0099479644005</v>
      </c>
      <c r="AK13" s="27">
        <v>8767.3000715480994</v>
      </c>
      <c r="AL13" s="27">
        <v>8791.5311097674003</v>
      </c>
      <c r="AM13" s="28">
        <v>9</v>
      </c>
      <c r="AN13" s="28">
        <v>9</v>
      </c>
      <c r="AO13" s="28">
        <v>9</v>
      </c>
      <c r="AP13" s="28">
        <v>9</v>
      </c>
      <c r="AQ13" s="28">
        <v>9</v>
      </c>
      <c r="AR13" s="28">
        <v>10</v>
      </c>
    </row>
    <row r="14" spans="1:44" x14ac:dyDescent="0.2">
      <c r="A14" s="21" t="s">
        <v>39</v>
      </c>
      <c r="B14" s="21" t="s">
        <v>40</v>
      </c>
      <c r="C14" s="21" t="s">
        <v>41</v>
      </c>
      <c r="D14" s="21">
        <v>2024</v>
      </c>
      <c r="E14" s="21" t="s">
        <v>42</v>
      </c>
      <c r="F14" s="21" t="s">
        <v>43</v>
      </c>
      <c r="G14" s="21" t="s">
        <v>44</v>
      </c>
      <c r="H14" s="21">
        <v>714778</v>
      </c>
      <c r="I14" s="21" t="s">
        <v>45</v>
      </c>
      <c r="J14" s="21">
        <v>2</v>
      </c>
      <c r="K14" s="21" t="s">
        <v>46</v>
      </c>
      <c r="L14" s="21" t="s">
        <v>72</v>
      </c>
      <c r="M14" s="21" t="s">
        <v>72</v>
      </c>
      <c r="N14" s="21" t="s">
        <v>72</v>
      </c>
      <c r="O14" s="21" t="s">
        <v>72</v>
      </c>
      <c r="P14" s="27">
        <v>1.6819126161</v>
      </c>
      <c r="Q14" s="27">
        <v>1.6826430399000001</v>
      </c>
      <c r="R14" s="27">
        <v>1.6800822806</v>
      </c>
      <c r="S14" s="27">
        <v>1.6448261324</v>
      </c>
      <c r="T14" s="27">
        <v>1.6010515847</v>
      </c>
      <c r="U14" s="27">
        <v>1.5693947931000001</v>
      </c>
      <c r="V14" s="21" t="s">
        <v>49</v>
      </c>
      <c r="W14" s="21" t="s">
        <v>50</v>
      </c>
      <c r="X14" s="21" t="s">
        <v>51</v>
      </c>
      <c r="Y14" s="27">
        <v>5686.375</v>
      </c>
      <c r="Z14" s="27">
        <v>5931.7700195313</v>
      </c>
      <c r="AA14" s="27">
        <v>5504.7001953125</v>
      </c>
      <c r="AB14" s="27">
        <v>6303.5698242187</v>
      </c>
      <c r="AC14" s="27">
        <v>6635.8149414063</v>
      </c>
      <c r="AD14" s="27">
        <v>6974.2412109375</v>
      </c>
      <c r="AE14" s="21" t="s">
        <v>52</v>
      </c>
      <c r="AF14" s="21" t="s">
        <v>53</v>
      </c>
      <c r="AG14" s="27">
        <v>4817.2710466462004</v>
      </c>
      <c r="AH14" s="27">
        <v>5298.7793527187996</v>
      </c>
      <c r="AI14" s="27">
        <v>4830.2379446373998</v>
      </c>
      <c r="AJ14" s="27">
        <v>5328.8902012515</v>
      </c>
      <c r="AK14" s="27">
        <v>6310.0995082393001</v>
      </c>
      <c r="AL14" s="27">
        <v>6462.8215482895002</v>
      </c>
      <c r="AM14" s="28">
        <v>10</v>
      </c>
      <c r="AN14" s="28">
        <v>10</v>
      </c>
      <c r="AO14" s="28">
        <v>12</v>
      </c>
      <c r="AP14" s="28">
        <v>11</v>
      </c>
      <c r="AQ14" s="28">
        <v>11</v>
      </c>
      <c r="AR14" s="28">
        <v>11</v>
      </c>
    </row>
    <row r="15" spans="1:44" x14ac:dyDescent="0.2">
      <c r="A15" s="21" t="s">
        <v>39</v>
      </c>
      <c r="B15" s="21" t="s">
        <v>40</v>
      </c>
      <c r="C15" s="21" t="s">
        <v>41</v>
      </c>
      <c r="D15" s="21">
        <v>2024</v>
      </c>
      <c r="E15" s="21" t="s">
        <v>42</v>
      </c>
      <c r="F15" s="21" t="s">
        <v>43</v>
      </c>
      <c r="G15" s="21" t="s">
        <v>44</v>
      </c>
      <c r="H15" s="21">
        <v>714778</v>
      </c>
      <c r="I15" s="21" t="s">
        <v>45</v>
      </c>
      <c r="J15" s="21">
        <v>2</v>
      </c>
      <c r="K15" s="21" t="s">
        <v>46</v>
      </c>
      <c r="L15" s="21" t="s">
        <v>73</v>
      </c>
      <c r="M15" s="21" t="s">
        <v>73</v>
      </c>
      <c r="N15" s="21" t="s">
        <v>270</v>
      </c>
      <c r="O15" s="21" t="s">
        <v>63</v>
      </c>
      <c r="P15" s="27">
        <v>1.3301347171</v>
      </c>
      <c r="Q15" s="27">
        <v>1.3104756717999999</v>
      </c>
      <c r="R15" s="27">
        <v>1.7208221254</v>
      </c>
      <c r="S15" s="27">
        <v>1.6434401666</v>
      </c>
      <c r="T15" s="27">
        <v>1.4334105982000001</v>
      </c>
      <c r="U15" s="27">
        <v>1.3528642342999999</v>
      </c>
      <c r="V15" s="21" t="s">
        <v>49</v>
      </c>
      <c r="W15" s="21" t="s">
        <v>50</v>
      </c>
      <c r="X15" s="21" t="s">
        <v>51</v>
      </c>
      <c r="Y15" s="27">
        <v>4497.0498046875</v>
      </c>
      <c r="Z15" s="27">
        <v>4619.7797851563</v>
      </c>
      <c r="AA15" s="27">
        <v>5638.1821289063</v>
      </c>
      <c r="AB15" s="27">
        <v>6298.2583009999998</v>
      </c>
      <c r="AC15" s="27">
        <v>5941</v>
      </c>
      <c r="AD15" s="27">
        <v>6012</v>
      </c>
      <c r="AE15" s="21" t="s">
        <v>52</v>
      </c>
      <c r="AF15" s="21" t="s">
        <v>53</v>
      </c>
      <c r="AG15" s="27">
        <v>3809.7219791953999</v>
      </c>
      <c r="AH15" s="27">
        <v>4126.7941371786001</v>
      </c>
      <c r="AI15" s="27">
        <v>4947.3650319794997</v>
      </c>
      <c r="AJ15" s="27">
        <v>5324.3999640012998</v>
      </c>
      <c r="AK15" s="27">
        <v>5649.3891872314998</v>
      </c>
      <c r="AL15" s="27">
        <v>5571.1412859340999</v>
      </c>
      <c r="AM15" s="28">
        <v>13</v>
      </c>
      <c r="AN15" s="28">
        <v>13</v>
      </c>
      <c r="AO15" s="28">
        <v>11</v>
      </c>
      <c r="AP15" s="28">
        <v>12</v>
      </c>
      <c r="AQ15" s="28">
        <v>12</v>
      </c>
      <c r="AR15" s="28">
        <v>12</v>
      </c>
    </row>
    <row r="16" spans="1:44" x14ac:dyDescent="0.2">
      <c r="A16" s="21" t="s">
        <v>39</v>
      </c>
      <c r="B16" s="21" t="s">
        <v>40</v>
      </c>
      <c r="C16" s="21" t="s">
        <v>41</v>
      </c>
      <c r="D16" s="21">
        <v>2024</v>
      </c>
      <c r="E16" s="21" t="s">
        <v>42</v>
      </c>
      <c r="F16" s="21" t="s">
        <v>43</v>
      </c>
      <c r="G16" s="21" t="s">
        <v>44</v>
      </c>
      <c r="H16" s="21">
        <v>714778</v>
      </c>
      <c r="I16" s="21" t="s">
        <v>45</v>
      </c>
      <c r="J16" s="21">
        <v>2</v>
      </c>
      <c r="K16" s="21" t="s">
        <v>46</v>
      </c>
      <c r="L16" s="21" t="s">
        <v>74</v>
      </c>
      <c r="M16" s="21" t="s">
        <v>74</v>
      </c>
      <c r="N16" s="21" t="s">
        <v>59</v>
      </c>
      <c r="O16" s="21" t="s">
        <v>59</v>
      </c>
      <c r="P16" s="27">
        <v>1.6759943561999999</v>
      </c>
      <c r="Q16" s="27">
        <v>1.5369038179000001</v>
      </c>
      <c r="R16" s="27">
        <v>1.6676608238999999</v>
      </c>
      <c r="S16" s="27">
        <v>1.4824047069999999</v>
      </c>
      <c r="T16" s="27">
        <v>1.4033512431999999</v>
      </c>
      <c r="U16" s="27">
        <v>1.3498437809999999</v>
      </c>
      <c r="V16" s="21" t="s">
        <v>49</v>
      </c>
      <c r="W16" s="21" t="s">
        <v>50</v>
      </c>
      <c r="X16" s="21" t="s">
        <v>51</v>
      </c>
      <c r="Y16" s="27">
        <v>5666.3659667968996</v>
      </c>
      <c r="Z16" s="27">
        <v>5418</v>
      </c>
      <c r="AA16" s="27">
        <v>5464.001953125</v>
      </c>
      <c r="AB16" s="27">
        <v>5681.1120605468996</v>
      </c>
      <c r="AC16" s="27">
        <v>5816.4141845702998</v>
      </c>
      <c r="AD16" s="27">
        <v>5998.5773925781004</v>
      </c>
      <c r="AE16" s="21" t="s">
        <v>52</v>
      </c>
      <c r="AF16" s="21" t="s">
        <v>53</v>
      </c>
      <c r="AG16" s="27">
        <v>4800.3201884419996</v>
      </c>
      <c r="AH16" s="27">
        <v>4839.8347269874002</v>
      </c>
      <c r="AI16" s="27">
        <v>4794.5262461398997</v>
      </c>
      <c r="AJ16" s="27">
        <v>4802.6789955344002</v>
      </c>
      <c r="AK16" s="27">
        <v>5530.9186000289001</v>
      </c>
      <c r="AL16" s="27">
        <v>5558.7029555326999</v>
      </c>
      <c r="AM16" s="28">
        <v>11</v>
      </c>
      <c r="AN16" s="28">
        <v>12</v>
      </c>
      <c r="AO16" s="28">
        <v>13</v>
      </c>
      <c r="AP16" s="28">
        <v>13</v>
      </c>
      <c r="AQ16" s="28">
        <v>13</v>
      </c>
      <c r="AR16" s="28">
        <v>13</v>
      </c>
    </row>
    <row r="17" spans="1:44" x14ac:dyDescent="0.2">
      <c r="A17" s="21" t="s">
        <v>39</v>
      </c>
      <c r="B17" s="21" t="s">
        <v>40</v>
      </c>
      <c r="C17" s="21" t="s">
        <v>41</v>
      </c>
      <c r="D17" s="21">
        <v>2024</v>
      </c>
      <c r="E17" s="21" t="s">
        <v>42</v>
      </c>
      <c r="F17" s="21" t="s">
        <v>43</v>
      </c>
      <c r="G17" s="21" t="s">
        <v>44</v>
      </c>
      <c r="H17" s="21">
        <v>714778</v>
      </c>
      <c r="I17" s="21" t="s">
        <v>45</v>
      </c>
      <c r="J17" s="21">
        <v>2</v>
      </c>
      <c r="K17" s="21" t="s">
        <v>46</v>
      </c>
      <c r="L17" s="21" t="s">
        <v>283</v>
      </c>
      <c r="M17" s="21" t="s">
        <v>75</v>
      </c>
      <c r="N17" s="21" t="s">
        <v>284</v>
      </c>
      <c r="O17" s="21" t="s">
        <v>67</v>
      </c>
      <c r="P17" s="27">
        <v>0.95270546460000005</v>
      </c>
      <c r="Q17" s="27">
        <v>1.0813357981</v>
      </c>
      <c r="R17" s="27">
        <v>1.3999922153</v>
      </c>
      <c r="S17" s="27">
        <v>1.2459677613</v>
      </c>
      <c r="T17" s="27">
        <v>1.2066127591</v>
      </c>
      <c r="U17" s="27">
        <v>1.2243934382999999</v>
      </c>
      <c r="V17" s="21" t="s">
        <v>49</v>
      </c>
      <c r="W17" s="21" t="s">
        <v>50</v>
      </c>
      <c r="X17" s="21" t="s">
        <v>51</v>
      </c>
      <c r="Y17" s="27">
        <v>3221</v>
      </c>
      <c r="Z17" s="27">
        <v>3812</v>
      </c>
      <c r="AA17" s="27">
        <v>4587</v>
      </c>
      <c r="AB17" s="27">
        <v>4775</v>
      </c>
      <c r="AC17" s="27">
        <v>5001</v>
      </c>
      <c r="AD17" s="27">
        <v>5441.0879999999997</v>
      </c>
      <c r="AE17" s="21" t="s">
        <v>52</v>
      </c>
      <c r="AF17" s="21" t="s">
        <v>53</v>
      </c>
      <c r="AG17" s="27">
        <v>2728.7032672392002</v>
      </c>
      <c r="AH17" s="27">
        <v>3405.2140973193</v>
      </c>
      <c r="AI17" s="27">
        <v>4024.9787755778002</v>
      </c>
      <c r="AJ17" s="27">
        <v>4036.6730948569002</v>
      </c>
      <c r="AK17" s="27">
        <v>4755.5285853129999</v>
      </c>
      <c r="AL17" s="27">
        <v>5042.0941445775998</v>
      </c>
      <c r="AM17" s="28">
        <v>25</v>
      </c>
      <c r="AN17" s="28">
        <v>18</v>
      </c>
      <c r="AO17" s="28">
        <v>15</v>
      </c>
      <c r="AP17" s="28">
        <v>15</v>
      </c>
      <c r="AQ17" s="28">
        <v>16</v>
      </c>
      <c r="AR17" s="28">
        <v>14</v>
      </c>
    </row>
    <row r="18" spans="1:44" x14ac:dyDescent="0.2">
      <c r="A18" s="21" t="s">
        <v>39</v>
      </c>
      <c r="B18" s="21" t="s">
        <v>40</v>
      </c>
      <c r="C18" s="21" t="s">
        <v>41</v>
      </c>
      <c r="D18" s="21">
        <v>2024</v>
      </c>
      <c r="E18" s="21" t="s">
        <v>42</v>
      </c>
      <c r="F18" s="21" t="s">
        <v>43</v>
      </c>
      <c r="G18" s="21" t="s">
        <v>44</v>
      </c>
      <c r="H18" s="21">
        <v>714778</v>
      </c>
      <c r="I18" s="21" t="s">
        <v>45</v>
      </c>
      <c r="J18" s="21">
        <v>2</v>
      </c>
      <c r="K18" s="21" t="s">
        <v>46</v>
      </c>
      <c r="L18" s="21" t="s">
        <v>76</v>
      </c>
      <c r="M18" s="21" t="s">
        <v>76</v>
      </c>
      <c r="N18" s="21" t="s">
        <v>285</v>
      </c>
      <c r="O18" s="21" t="s">
        <v>77</v>
      </c>
      <c r="P18" s="27">
        <v>0.9569794626</v>
      </c>
      <c r="Q18" s="27">
        <v>1.0276264026999999</v>
      </c>
      <c r="R18" s="27">
        <v>1.1895108164999999</v>
      </c>
      <c r="S18" s="27">
        <v>1.1945634369</v>
      </c>
      <c r="T18" s="27">
        <v>1.2509502098</v>
      </c>
      <c r="U18" s="27">
        <v>1.2186030257</v>
      </c>
      <c r="V18" s="21" t="s">
        <v>49</v>
      </c>
      <c r="W18" s="21" t="s">
        <v>50</v>
      </c>
      <c r="X18" s="21" t="s">
        <v>51</v>
      </c>
      <c r="Y18" s="27">
        <v>3235.4499511719</v>
      </c>
      <c r="Z18" s="27">
        <v>3622.6599121094</v>
      </c>
      <c r="AA18" s="27">
        <v>3897.3688964844</v>
      </c>
      <c r="AB18" s="27">
        <v>4578</v>
      </c>
      <c r="AC18" s="27">
        <v>5184.763671875</v>
      </c>
      <c r="AD18" s="27">
        <v>5415.3559570313</v>
      </c>
      <c r="AE18" s="21" t="s">
        <v>52</v>
      </c>
      <c r="AF18" s="21" t="s">
        <v>53</v>
      </c>
      <c r="AG18" s="27">
        <v>2740.9446919440002</v>
      </c>
      <c r="AH18" s="27">
        <v>3236.0788569014999</v>
      </c>
      <c r="AI18" s="27">
        <v>3419.8445801060998</v>
      </c>
      <c r="AJ18" s="27">
        <v>3870.1339116764998</v>
      </c>
      <c r="AK18" s="27">
        <v>4930.2723154757005</v>
      </c>
      <c r="AL18" s="27">
        <v>5018.2490269870004</v>
      </c>
      <c r="AM18" s="28">
        <v>24</v>
      </c>
      <c r="AN18" s="28">
        <v>22</v>
      </c>
      <c r="AO18" s="28">
        <v>18</v>
      </c>
      <c r="AP18" s="28">
        <v>17</v>
      </c>
      <c r="AQ18" s="28">
        <v>14</v>
      </c>
      <c r="AR18" s="28">
        <v>15</v>
      </c>
    </row>
    <row r="19" spans="1:44" x14ac:dyDescent="0.2">
      <c r="A19" s="21" t="s">
        <v>39</v>
      </c>
      <c r="B19" s="21" t="s">
        <v>40</v>
      </c>
      <c r="C19" s="21" t="s">
        <v>41</v>
      </c>
      <c r="D19" s="21">
        <v>2024</v>
      </c>
      <c r="E19" s="21" t="s">
        <v>42</v>
      </c>
      <c r="F19" s="21" t="s">
        <v>43</v>
      </c>
      <c r="G19" s="21" t="s">
        <v>44</v>
      </c>
      <c r="H19" s="21">
        <v>714778</v>
      </c>
      <c r="I19" s="21" t="s">
        <v>45</v>
      </c>
      <c r="J19" s="21">
        <v>2</v>
      </c>
      <c r="K19" s="21" t="s">
        <v>46</v>
      </c>
      <c r="L19" s="21" t="s">
        <v>78</v>
      </c>
      <c r="M19" s="21" t="s">
        <v>78</v>
      </c>
      <c r="N19" s="21" t="s">
        <v>286</v>
      </c>
      <c r="O19" s="21" t="s">
        <v>79</v>
      </c>
      <c r="P19" s="27">
        <v>1.0938691464999999</v>
      </c>
      <c r="Q19" s="27">
        <v>1.0626819018</v>
      </c>
      <c r="R19" s="27">
        <v>1.1866513480000001</v>
      </c>
      <c r="S19" s="27">
        <v>1.1600417005000001</v>
      </c>
      <c r="T19" s="27">
        <v>1.1863322878</v>
      </c>
      <c r="U19" s="27">
        <v>1.2027076146</v>
      </c>
      <c r="V19" s="21" t="s">
        <v>49</v>
      </c>
      <c r="W19" s="21" t="s">
        <v>50</v>
      </c>
      <c r="X19" s="21" t="s">
        <v>51</v>
      </c>
      <c r="Y19" s="27">
        <v>3698.2600097656</v>
      </c>
      <c r="Z19" s="27">
        <v>3746.2399902344</v>
      </c>
      <c r="AA19" s="27">
        <v>3888</v>
      </c>
      <c r="AB19" s="27">
        <v>4445.7001953125</v>
      </c>
      <c r="AC19" s="27">
        <v>4916.9443359375</v>
      </c>
      <c r="AD19" s="27">
        <v>5344.7182617188</v>
      </c>
      <c r="AE19" s="21" t="s">
        <v>52</v>
      </c>
      <c r="AF19" s="21" t="s">
        <v>53</v>
      </c>
      <c r="AG19" s="27">
        <v>3133.0189915391002</v>
      </c>
      <c r="AH19" s="27">
        <v>3346.4714655529001</v>
      </c>
      <c r="AI19" s="27">
        <v>3411.6236057219999</v>
      </c>
      <c r="AJ19" s="27">
        <v>3758.2907573232001</v>
      </c>
      <c r="AK19" s="27">
        <v>4675.5987486390004</v>
      </c>
      <c r="AL19" s="27">
        <v>4952.7911792327004</v>
      </c>
      <c r="AM19" s="28">
        <v>18</v>
      </c>
      <c r="AN19" s="28">
        <v>20</v>
      </c>
      <c r="AO19" s="28">
        <v>19</v>
      </c>
      <c r="AP19" s="28">
        <v>19</v>
      </c>
      <c r="AQ19" s="28">
        <v>19</v>
      </c>
      <c r="AR19" s="28">
        <v>16</v>
      </c>
    </row>
    <row r="20" spans="1:44" x14ac:dyDescent="0.2">
      <c r="A20" s="21" t="s">
        <v>39</v>
      </c>
      <c r="B20" s="21" t="s">
        <v>40</v>
      </c>
      <c r="C20" s="21" t="s">
        <v>41</v>
      </c>
      <c r="D20" s="21">
        <v>2024</v>
      </c>
      <c r="E20" s="21" t="s">
        <v>42</v>
      </c>
      <c r="F20" s="21" t="s">
        <v>43</v>
      </c>
      <c r="G20" s="21" t="s">
        <v>44</v>
      </c>
      <c r="H20" s="21">
        <v>714778</v>
      </c>
      <c r="I20" s="21" t="s">
        <v>45</v>
      </c>
      <c r="J20" s="21">
        <v>2</v>
      </c>
      <c r="K20" s="21" t="s">
        <v>46</v>
      </c>
      <c r="L20" s="21" t="s">
        <v>80</v>
      </c>
      <c r="M20" s="21" t="s">
        <v>80</v>
      </c>
      <c r="N20" s="21" t="s">
        <v>81</v>
      </c>
      <c r="O20" s="21" t="s">
        <v>81</v>
      </c>
      <c r="P20" s="27">
        <v>1.2396410947000001</v>
      </c>
      <c r="Q20" s="27">
        <v>1.2342319143</v>
      </c>
      <c r="R20" s="27">
        <v>1.0736325589</v>
      </c>
      <c r="S20" s="27">
        <v>1.1441540571</v>
      </c>
      <c r="T20" s="27">
        <v>1.1891275589000001</v>
      </c>
      <c r="U20" s="27">
        <v>1.1988872045000001</v>
      </c>
      <c r="V20" s="21" t="s">
        <v>49</v>
      </c>
      <c r="W20" s="21" t="s">
        <v>50</v>
      </c>
      <c r="X20" s="21" t="s">
        <v>51</v>
      </c>
      <c r="Y20" s="27">
        <v>4191.1000976563</v>
      </c>
      <c r="Z20" s="27">
        <v>4351</v>
      </c>
      <c r="AA20" s="27">
        <v>3517.6999511719</v>
      </c>
      <c r="AB20" s="27">
        <v>4384.8129882813</v>
      </c>
      <c r="AC20" s="27">
        <v>4928.5297851563</v>
      </c>
      <c r="AD20" s="27">
        <v>5327.7407226563</v>
      </c>
      <c r="AE20" s="21" t="s">
        <v>52</v>
      </c>
      <c r="AF20" s="21" t="s">
        <v>53</v>
      </c>
      <c r="AG20" s="27">
        <v>3550.5335392118</v>
      </c>
      <c r="AH20" s="27">
        <v>3886.6963634407998</v>
      </c>
      <c r="AI20" s="27">
        <v>3086.6944936381001</v>
      </c>
      <c r="AJ20" s="27">
        <v>3706.8181394291</v>
      </c>
      <c r="AK20" s="27">
        <v>4686.6155322690001</v>
      </c>
      <c r="AL20" s="27">
        <v>4937.0585995911997</v>
      </c>
      <c r="AM20" s="28">
        <v>16</v>
      </c>
      <c r="AN20" s="28">
        <v>15</v>
      </c>
      <c r="AO20" s="28">
        <v>21</v>
      </c>
      <c r="AP20" s="28">
        <v>20</v>
      </c>
      <c r="AQ20" s="28">
        <v>18</v>
      </c>
      <c r="AR20" s="28">
        <v>17</v>
      </c>
    </row>
    <row r="21" spans="1:44" x14ac:dyDescent="0.2">
      <c r="A21" s="21" t="s">
        <v>39</v>
      </c>
      <c r="B21" s="21" t="s">
        <v>40</v>
      </c>
      <c r="C21" s="21" t="s">
        <v>41</v>
      </c>
      <c r="D21" s="21">
        <v>2024</v>
      </c>
      <c r="E21" s="21" t="s">
        <v>42</v>
      </c>
      <c r="F21" s="21" t="s">
        <v>43</v>
      </c>
      <c r="G21" s="21" t="s">
        <v>44</v>
      </c>
      <c r="H21" s="21">
        <v>714778</v>
      </c>
      <c r="I21" s="21" t="s">
        <v>45</v>
      </c>
      <c r="J21" s="21">
        <v>2</v>
      </c>
      <c r="K21" s="21" t="s">
        <v>46</v>
      </c>
      <c r="L21" s="21" t="s">
        <v>82</v>
      </c>
      <c r="M21" s="21" t="s">
        <v>82</v>
      </c>
      <c r="N21" s="21" t="s">
        <v>59</v>
      </c>
      <c r="O21" s="21" t="s">
        <v>59</v>
      </c>
      <c r="P21" s="27">
        <v>1.2923214575999999</v>
      </c>
      <c r="Q21" s="27">
        <v>1.2874363754</v>
      </c>
      <c r="R21" s="27">
        <v>1.4353609536</v>
      </c>
      <c r="S21" s="27">
        <v>1.3130505217999999</v>
      </c>
      <c r="T21" s="27">
        <v>1.2201834958</v>
      </c>
      <c r="U21" s="27">
        <v>1.1744351516</v>
      </c>
      <c r="V21" s="21" t="s">
        <v>49</v>
      </c>
      <c r="W21" s="21" t="s">
        <v>50</v>
      </c>
      <c r="X21" s="21" t="s">
        <v>51</v>
      </c>
      <c r="Y21" s="27">
        <v>4369.20703125</v>
      </c>
      <c r="Z21" s="27">
        <v>4538.5600585938</v>
      </c>
      <c r="AA21" s="27">
        <v>4702.8837890625</v>
      </c>
      <c r="AB21" s="27">
        <v>5032.0854492188</v>
      </c>
      <c r="AC21" s="27">
        <v>5057.24609375</v>
      </c>
      <c r="AD21" s="27">
        <v>5219.078125</v>
      </c>
      <c r="AE21" s="21" t="s">
        <v>52</v>
      </c>
      <c r="AF21" s="21" t="s">
        <v>53</v>
      </c>
      <c r="AG21" s="27">
        <v>3701.4186592413998</v>
      </c>
      <c r="AH21" s="27">
        <v>4054.2415249353999</v>
      </c>
      <c r="AI21" s="27">
        <v>4126.6639274004001</v>
      </c>
      <c r="AJ21" s="27">
        <v>4254.0071086665002</v>
      </c>
      <c r="AK21" s="27">
        <v>4809.0138695841997</v>
      </c>
      <c r="AL21" s="27">
        <v>4836.3642077017003</v>
      </c>
      <c r="AM21" s="28">
        <v>14</v>
      </c>
      <c r="AN21" s="28">
        <v>14</v>
      </c>
      <c r="AO21" s="28">
        <v>14</v>
      </c>
      <c r="AP21" s="28">
        <v>14</v>
      </c>
      <c r="AQ21" s="28">
        <v>15</v>
      </c>
      <c r="AR21" s="28">
        <v>18</v>
      </c>
    </row>
    <row r="22" spans="1:44" x14ac:dyDescent="0.2">
      <c r="A22" s="21" t="s">
        <v>39</v>
      </c>
      <c r="B22" s="21" t="s">
        <v>40</v>
      </c>
      <c r="C22" s="21" t="s">
        <v>41</v>
      </c>
      <c r="D22" s="21">
        <v>2024</v>
      </c>
      <c r="E22" s="21" t="s">
        <v>42</v>
      </c>
      <c r="F22" s="21" t="s">
        <v>43</v>
      </c>
      <c r="G22" s="21" t="s">
        <v>44</v>
      </c>
      <c r="H22" s="21">
        <v>714778</v>
      </c>
      <c r="I22" s="21" t="s">
        <v>45</v>
      </c>
      <c r="J22" s="21">
        <v>2</v>
      </c>
      <c r="K22" s="21" t="s">
        <v>46</v>
      </c>
      <c r="L22" s="21" t="s">
        <v>83</v>
      </c>
      <c r="M22" s="21" t="s">
        <v>83</v>
      </c>
      <c r="N22" s="21" t="s">
        <v>63</v>
      </c>
      <c r="O22" s="21" t="s">
        <v>63</v>
      </c>
      <c r="P22" s="27">
        <v>1.0988929915000001</v>
      </c>
      <c r="Q22" s="27">
        <v>1.0942454525</v>
      </c>
      <c r="R22" s="27">
        <v>1.2765090753999999</v>
      </c>
      <c r="S22" s="27">
        <v>1.2225462379000001</v>
      </c>
      <c r="T22" s="27">
        <v>1.1969763955999999</v>
      </c>
      <c r="U22" s="27">
        <v>1.1409344293999999</v>
      </c>
      <c r="V22" s="21" t="s">
        <v>49</v>
      </c>
      <c r="W22" s="21" t="s">
        <v>50</v>
      </c>
      <c r="X22" s="21" t="s">
        <v>51</v>
      </c>
      <c r="Y22" s="27">
        <v>3715.2451171875</v>
      </c>
      <c r="Z22" s="27">
        <v>3857.5100097656</v>
      </c>
      <c r="AA22" s="27">
        <v>4182.4140625</v>
      </c>
      <c r="AB22" s="27">
        <v>4685.240234375</v>
      </c>
      <c r="AC22" s="27">
        <v>4961.060546875</v>
      </c>
      <c r="AD22" s="27">
        <v>5070.2041015625</v>
      </c>
      <c r="AE22" s="21" t="s">
        <v>52</v>
      </c>
      <c r="AF22" s="21" t="s">
        <v>53</v>
      </c>
      <c r="AG22" s="27">
        <v>3147.4080999267999</v>
      </c>
      <c r="AH22" s="27">
        <v>3445.8676458038999</v>
      </c>
      <c r="AI22" s="27">
        <v>3669.9646462265</v>
      </c>
      <c r="AJ22" s="27">
        <v>3960.7922925744001</v>
      </c>
      <c r="AK22" s="27">
        <v>4717.5495389188</v>
      </c>
      <c r="AL22" s="27">
        <v>4698.4070855501004</v>
      </c>
      <c r="AM22" s="28">
        <v>17</v>
      </c>
      <c r="AN22" s="28">
        <v>17</v>
      </c>
      <c r="AO22" s="28">
        <v>16</v>
      </c>
      <c r="AP22" s="28">
        <v>16</v>
      </c>
      <c r="AQ22" s="28">
        <v>17</v>
      </c>
      <c r="AR22" s="28">
        <v>19</v>
      </c>
    </row>
    <row r="23" spans="1:44" x14ac:dyDescent="0.2">
      <c r="A23" s="21" t="s">
        <v>39</v>
      </c>
      <c r="B23" s="21" t="s">
        <v>40</v>
      </c>
      <c r="C23" s="21" t="s">
        <v>41</v>
      </c>
      <c r="D23" s="21">
        <v>2024</v>
      </c>
      <c r="E23" s="21" t="s">
        <v>42</v>
      </c>
      <c r="F23" s="21" t="s">
        <v>43</v>
      </c>
      <c r="G23" s="21" t="s">
        <v>44</v>
      </c>
      <c r="H23" s="21">
        <v>714778</v>
      </c>
      <c r="I23" s="21" t="s">
        <v>45</v>
      </c>
      <c r="J23" s="21">
        <v>2</v>
      </c>
      <c r="K23" s="21" t="s">
        <v>46</v>
      </c>
      <c r="L23" s="21" t="s">
        <v>84</v>
      </c>
      <c r="M23" s="21" t="s">
        <v>84</v>
      </c>
      <c r="N23" s="21" t="s">
        <v>287</v>
      </c>
      <c r="O23" s="21" t="s">
        <v>85</v>
      </c>
      <c r="P23" s="27">
        <v>1.0722461989000001</v>
      </c>
      <c r="Q23" s="27">
        <v>1.0632917565</v>
      </c>
      <c r="R23" s="27">
        <v>1.213473051</v>
      </c>
      <c r="S23" s="27">
        <v>1.1726448416999999</v>
      </c>
      <c r="T23" s="27">
        <v>1.1233210547000001</v>
      </c>
      <c r="U23" s="27">
        <v>1.1073962393000001</v>
      </c>
      <c r="V23" s="21" t="s">
        <v>49</v>
      </c>
      <c r="W23" s="21" t="s">
        <v>50</v>
      </c>
      <c r="X23" s="21" t="s">
        <v>51</v>
      </c>
      <c r="Y23" s="27">
        <v>3625.1550292969</v>
      </c>
      <c r="Z23" s="27">
        <v>3748.3898925781</v>
      </c>
      <c r="AA23" s="27">
        <v>3975.8798828125</v>
      </c>
      <c r="AB23" s="27">
        <v>4494</v>
      </c>
      <c r="AC23" s="27">
        <v>4655.7841796875</v>
      </c>
      <c r="AD23" s="27">
        <v>4921.1635742187</v>
      </c>
      <c r="AE23" s="21" t="s">
        <v>52</v>
      </c>
      <c r="AF23" s="21" t="s">
        <v>53</v>
      </c>
      <c r="AG23" s="27">
        <v>3071.0873556942001</v>
      </c>
      <c r="AH23" s="27">
        <v>3348.3919476537999</v>
      </c>
      <c r="AI23" s="27">
        <v>3488.7360241044998</v>
      </c>
      <c r="AJ23" s="27">
        <v>3799.1222802695002</v>
      </c>
      <c r="AK23" s="27">
        <v>4427.2574992106001</v>
      </c>
      <c r="AL23" s="27">
        <v>4560.2956691891004</v>
      </c>
      <c r="AM23" s="28">
        <v>20</v>
      </c>
      <c r="AN23" s="28">
        <v>19</v>
      </c>
      <c r="AO23" s="28">
        <v>17</v>
      </c>
      <c r="AP23" s="28">
        <v>18</v>
      </c>
      <c r="AQ23" s="28">
        <v>20</v>
      </c>
      <c r="AR23" s="28">
        <v>20</v>
      </c>
    </row>
    <row r="24" spans="1:44" x14ac:dyDescent="0.2">
      <c r="A24" s="21" t="s">
        <v>39</v>
      </c>
      <c r="B24" s="21" t="s">
        <v>40</v>
      </c>
      <c r="C24" s="21" t="s">
        <v>41</v>
      </c>
      <c r="D24" s="21">
        <v>2024</v>
      </c>
      <c r="E24" s="21" t="s">
        <v>42</v>
      </c>
      <c r="F24" s="21" t="s">
        <v>43</v>
      </c>
      <c r="G24" s="21" t="s">
        <v>44</v>
      </c>
      <c r="H24" s="21">
        <v>714778</v>
      </c>
      <c r="I24" s="21" t="s">
        <v>45</v>
      </c>
      <c r="J24" s="21">
        <v>2</v>
      </c>
      <c r="K24" s="21" t="s">
        <v>46</v>
      </c>
      <c r="L24" s="21" t="s">
        <v>86</v>
      </c>
      <c r="M24" s="21" t="s">
        <v>86</v>
      </c>
      <c r="N24" s="21" t="s">
        <v>281</v>
      </c>
      <c r="O24" s="21" t="s">
        <v>87</v>
      </c>
      <c r="P24" s="27">
        <v>1.2436045097999999</v>
      </c>
      <c r="Q24" s="27">
        <v>1.1609286319000001</v>
      </c>
      <c r="R24" s="27">
        <v>0.94806057249999998</v>
      </c>
      <c r="S24" s="27">
        <v>1.1068708366</v>
      </c>
      <c r="T24" s="27">
        <v>1.0715717236</v>
      </c>
      <c r="U24" s="27">
        <v>1.0184028796</v>
      </c>
      <c r="V24" s="21" t="s">
        <v>49</v>
      </c>
      <c r="W24" s="21" t="s">
        <v>50</v>
      </c>
      <c r="X24" s="21" t="s">
        <v>51</v>
      </c>
      <c r="Y24" s="27">
        <v>4204.5</v>
      </c>
      <c r="Z24" s="27">
        <v>4092.5861816406</v>
      </c>
      <c r="AA24" s="27">
        <v>3106.2700195313</v>
      </c>
      <c r="AB24" s="27">
        <v>4241.9301757813</v>
      </c>
      <c r="AC24" s="27">
        <v>4441.30078125</v>
      </c>
      <c r="AD24" s="27">
        <v>4525.685546875</v>
      </c>
      <c r="AE24" s="21" t="s">
        <v>52</v>
      </c>
      <c r="AF24" s="21" t="s">
        <v>53</v>
      </c>
      <c r="AG24" s="27">
        <v>3561.8854042556</v>
      </c>
      <c r="AH24" s="27">
        <v>3655.8583841073</v>
      </c>
      <c r="AI24" s="27">
        <v>2725.6749291098999</v>
      </c>
      <c r="AJ24" s="27">
        <v>3586.0283582907</v>
      </c>
      <c r="AK24" s="27">
        <v>4223.3019038606999</v>
      </c>
      <c r="AL24" s="27">
        <v>4193.8179636310997</v>
      </c>
      <c r="AM24" s="28">
        <v>15</v>
      </c>
      <c r="AN24" s="28">
        <v>16</v>
      </c>
      <c r="AO24" s="28">
        <v>24</v>
      </c>
      <c r="AP24" s="28">
        <v>21</v>
      </c>
      <c r="AQ24" s="28">
        <v>21</v>
      </c>
      <c r="AR24" s="28">
        <v>21</v>
      </c>
    </row>
    <row r="25" spans="1:44" x14ac:dyDescent="0.2">
      <c r="A25" s="21" t="s">
        <v>39</v>
      </c>
      <c r="B25" s="21" t="s">
        <v>40</v>
      </c>
      <c r="C25" s="21" t="s">
        <v>41</v>
      </c>
      <c r="D25" s="21">
        <v>2024</v>
      </c>
      <c r="E25" s="21" t="s">
        <v>42</v>
      </c>
      <c r="F25" s="21" t="s">
        <v>43</v>
      </c>
      <c r="G25" s="21" t="s">
        <v>44</v>
      </c>
      <c r="H25" s="21">
        <v>714778</v>
      </c>
      <c r="I25" s="21" t="s">
        <v>45</v>
      </c>
      <c r="J25" s="21">
        <v>2</v>
      </c>
      <c r="K25" s="21" t="s">
        <v>46</v>
      </c>
      <c r="L25" s="21" t="s">
        <v>88</v>
      </c>
      <c r="M25" s="21" t="s">
        <v>88</v>
      </c>
      <c r="N25" s="21" t="s">
        <v>89</v>
      </c>
      <c r="O25" s="21" t="s">
        <v>89</v>
      </c>
      <c r="P25" s="27">
        <v>0.7537849325</v>
      </c>
      <c r="Q25" s="27">
        <v>0.76071341569999995</v>
      </c>
      <c r="R25" s="27">
        <v>0.77474473870000005</v>
      </c>
      <c r="S25" s="27">
        <v>0.98864086500000004</v>
      </c>
      <c r="T25" s="27">
        <v>1.0256732941</v>
      </c>
      <c r="U25" s="27">
        <v>0.99965353320000006</v>
      </c>
      <c r="V25" s="21" t="s">
        <v>49</v>
      </c>
      <c r="W25" s="21" t="s">
        <v>50</v>
      </c>
      <c r="X25" s="21" t="s">
        <v>51</v>
      </c>
      <c r="Y25" s="27">
        <v>2548.4699707031</v>
      </c>
      <c r="Z25" s="27">
        <v>2681.7197265625</v>
      </c>
      <c r="AA25" s="27">
        <v>2538.4099121094</v>
      </c>
      <c r="AB25" s="27">
        <v>3788.830078125</v>
      </c>
      <c r="AC25" s="27">
        <v>4251.0673828125</v>
      </c>
      <c r="AD25" s="27">
        <v>4442.365234375</v>
      </c>
      <c r="AE25" s="21" t="s">
        <v>52</v>
      </c>
      <c r="AF25" s="21" t="s">
        <v>53</v>
      </c>
      <c r="AG25" s="27">
        <v>2158.9625381926999</v>
      </c>
      <c r="AH25" s="27">
        <v>2395.5482208683002</v>
      </c>
      <c r="AI25" s="27">
        <v>2227.3917636705</v>
      </c>
      <c r="AJ25" s="27">
        <v>3202.9881544191999</v>
      </c>
      <c r="AK25" s="27">
        <v>4042.4060102092999</v>
      </c>
      <c r="AL25" s="27">
        <v>4116.6075123793999</v>
      </c>
      <c r="AM25" s="28">
        <v>31</v>
      </c>
      <c r="AN25" s="28">
        <v>30</v>
      </c>
      <c r="AO25" s="28">
        <v>29</v>
      </c>
      <c r="AP25" s="28">
        <v>23</v>
      </c>
      <c r="AQ25" s="28">
        <v>22</v>
      </c>
      <c r="AR25" s="28">
        <v>22</v>
      </c>
    </row>
    <row r="26" spans="1:44" x14ac:dyDescent="0.2">
      <c r="A26" s="21" t="s">
        <v>39</v>
      </c>
      <c r="B26" s="21" t="s">
        <v>40</v>
      </c>
      <c r="C26" s="21" t="s">
        <v>41</v>
      </c>
      <c r="D26" s="21">
        <v>2024</v>
      </c>
      <c r="E26" s="21" t="s">
        <v>42</v>
      </c>
      <c r="F26" s="21" t="s">
        <v>43</v>
      </c>
      <c r="G26" s="21" t="s">
        <v>44</v>
      </c>
      <c r="H26" s="21">
        <v>714778</v>
      </c>
      <c r="I26" s="21" t="s">
        <v>45</v>
      </c>
      <c r="J26" s="21">
        <v>2</v>
      </c>
      <c r="K26" s="21" t="s">
        <v>46</v>
      </c>
      <c r="L26" s="21" t="s">
        <v>90</v>
      </c>
      <c r="M26" s="21" t="s">
        <v>90</v>
      </c>
      <c r="N26" s="21" t="s">
        <v>288</v>
      </c>
      <c r="O26" s="21" t="s">
        <v>91</v>
      </c>
      <c r="P26" s="27">
        <v>0.96525774760000005</v>
      </c>
      <c r="Q26" s="27">
        <v>0.96767357939999998</v>
      </c>
      <c r="R26" s="27">
        <v>0.97344572330000001</v>
      </c>
      <c r="S26" s="27">
        <v>0.9004830908</v>
      </c>
      <c r="T26" s="27">
        <v>0.93338063299999996</v>
      </c>
      <c r="U26" s="27">
        <v>0.97586238820000004</v>
      </c>
      <c r="V26" s="21" t="s">
        <v>49</v>
      </c>
      <c r="W26" s="21" t="s">
        <v>50</v>
      </c>
      <c r="X26" s="21" t="s">
        <v>51</v>
      </c>
      <c r="Y26" s="27">
        <v>3263.4379882813</v>
      </c>
      <c r="Z26" s="27">
        <v>3411.3100585938</v>
      </c>
      <c r="AA26" s="27">
        <v>3189.4431152344</v>
      </c>
      <c r="AB26" s="27">
        <v>3450.9775390625</v>
      </c>
      <c r="AC26" s="27">
        <v>3868.5456542969</v>
      </c>
      <c r="AD26" s="27">
        <v>4336.6396484375</v>
      </c>
      <c r="AE26" s="21" t="s">
        <v>52</v>
      </c>
      <c r="AF26" s="21" t="s">
        <v>53</v>
      </c>
      <c r="AG26" s="27">
        <v>2764.6550453447999</v>
      </c>
      <c r="AH26" s="27">
        <v>3047.2825555746999</v>
      </c>
      <c r="AI26" s="27">
        <v>2798.6572584982</v>
      </c>
      <c r="AJ26" s="27">
        <v>2917.3755356836</v>
      </c>
      <c r="AK26" s="27">
        <v>3678.6601564881998</v>
      </c>
      <c r="AL26" s="27">
        <v>4018.6347617480001</v>
      </c>
      <c r="AM26" s="28">
        <v>22</v>
      </c>
      <c r="AN26" s="28">
        <v>25</v>
      </c>
      <c r="AO26" s="28">
        <v>22</v>
      </c>
      <c r="AP26" s="28">
        <v>26</v>
      </c>
      <c r="AQ26" s="28">
        <v>24</v>
      </c>
      <c r="AR26" s="28">
        <v>23</v>
      </c>
    </row>
    <row r="27" spans="1:44" x14ac:dyDescent="0.2">
      <c r="A27" s="21" t="s">
        <v>39</v>
      </c>
      <c r="B27" s="21" t="s">
        <v>40</v>
      </c>
      <c r="C27" s="21" t="s">
        <v>41</v>
      </c>
      <c r="D27" s="21">
        <v>2024</v>
      </c>
      <c r="E27" s="21" t="s">
        <v>42</v>
      </c>
      <c r="F27" s="21" t="s">
        <v>43</v>
      </c>
      <c r="G27" s="21" t="s">
        <v>44</v>
      </c>
      <c r="H27" s="21">
        <v>714778</v>
      </c>
      <c r="I27" s="21" t="s">
        <v>45</v>
      </c>
      <c r="J27" s="21">
        <v>2</v>
      </c>
      <c r="K27" s="21" t="s">
        <v>46</v>
      </c>
      <c r="L27" s="21" t="s">
        <v>92</v>
      </c>
      <c r="M27" s="21" t="s">
        <v>92</v>
      </c>
      <c r="N27" s="21" t="s">
        <v>93</v>
      </c>
      <c r="O27" s="21" t="s">
        <v>93</v>
      </c>
      <c r="P27" s="27">
        <v>1.0252083914000001</v>
      </c>
      <c r="Q27" s="27">
        <v>0.97269729780000003</v>
      </c>
      <c r="R27" s="27">
        <v>1.1052201669999999</v>
      </c>
      <c r="S27" s="27">
        <v>1.0828541811000001</v>
      </c>
      <c r="T27" s="27">
        <v>0.99044807140000002</v>
      </c>
      <c r="U27" s="27">
        <v>0.96716949939999997</v>
      </c>
      <c r="V27" s="21" t="s">
        <v>49</v>
      </c>
      <c r="W27" s="21" t="s">
        <v>50</v>
      </c>
      <c r="X27" s="21" t="s">
        <v>51</v>
      </c>
      <c r="Y27" s="27">
        <v>3466.125</v>
      </c>
      <c r="Z27" s="27">
        <v>3429.0200195313</v>
      </c>
      <c r="AA27" s="27">
        <v>3621.1950683594</v>
      </c>
      <c r="AB27" s="27">
        <v>4149.8896484375</v>
      </c>
      <c r="AC27" s="27">
        <v>4105.0708007813</v>
      </c>
      <c r="AD27" s="27">
        <v>4298.0092773438</v>
      </c>
      <c r="AE27" s="21" t="s">
        <v>52</v>
      </c>
      <c r="AF27" s="21" t="s">
        <v>53</v>
      </c>
      <c r="AG27" s="27">
        <v>2936.3634312821</v>
      </c>
      <c r="AH27" s="27">
        <v>3063.1026522817001</v>
      </c>
      <c r="AI27" s="27">
        <v>3177.5088930398001</v>
      </c>
      <c r="AJ27" s="27">
        <v>3508.2194535021999</v>
      </c>
      <c r="AK27" s="27">
        <v>3903.5755924513001</v>
      </c>
      <c r="AL27" s="27">
        <v>3982.8371477607002</v>
      </c>
      <c r="AM27" s="28">
        <v>21</v>
      </c>
      <c r="AN27" s="28">
        <v>24</v>
      </c>
      <c r="AO27" s="28">
        <v>20</v>
      </c>
      <c r="AP27" s="28">
        <v>22</v>
      </c>
      <c r="AQ27" s="28">
        <v>23</v>
      </c>
      <c r="AR27" s="28">
        <v>24</v>
      </c>
    </row>
    <row r="28" spans="1:44" x14ac:dyDescent="0.2">
      <c r="A28" s="21" t="s">
        <v>39</v>
      </c>
      <c r="B28" s="21" t="s">
        <v>40</v>
      </c>
      <c r="C28" s="21" t="s">
        <v>41</v>
      </c>
      <c r="D28" s="21">
        <v>2024</v>
      </c>
      <c r="E28" s="21" t="s">
        <v>42</v>
      </c>
      <c r="F28" s="21" t="s">
        <v>43</v>
      </c>
      <c r="G28" s="21" t="s">
        <v>44</v>
      </c>
      <c r="H28" s="21">
        <v>714778</v>
      </c>
      <c r="I28" s="21" t="s">
        <v>45</v>
      </c>
      <c r="J28" s="21">
        <v>2</v>
      </c>
      <c r="K28" s="21" t="s">
        <v>46</v>
      </c>
      <c r="L28" s="21" t="s">
        <v>94</v>
      </c>
      <c r="M28" s="21" t="s">
        <v>94</v>
      </c>
      <c r="N28" s="21" t="s">
        <v>95</v>
      </c>
      <c r="O28" s="21" t="s">
        <v>95</v>
      </c>
      <c r="P28" s="27">
        <v>0.90530681489999998</v>
      </c>
      <c r="Q28" s="27">
        <v>1.0005334350999999</v>
      </c>
      <c r="R28" s="27">
        <v>0.90781266810000005</v>
      </c>
      <c r="S28" s="27">
        <v>0.84597843549999996</v>
      </c>
      <c r="T28" s="27">
        <v>0.92445919779999997</v>
      </c>
      <c r="U28" s="27">
        <v>0.92396304569999999</v>
      </c>
      <c r="V28" s="21" t="s">
        <v>49</v>
      </c>
      <c r="W28" s="21" t="s">
        <v>50</v>
      </c>
      <c r="X28" s="21" t="s">
        <v>51</v>
      </c>
      <c r="Y28" s="27">
        <v>3060.75</v>
      </c>
      <c r="Z28" s="27">
        <v>3527.1499023438</v>
      </c>
      <c r="AA28" s="27">
        <v>2974.3999023438</v>
      </c>
      <c r="AB28" s="27">
        <v>3242.0959472656</v>
      </c>
      <c r="AC28" s="27">
        <v>3831.5693359375</v>
      </c>
      <c r="AD28" s="27">
        <v>4106.00390625</v>
      </c>
      <c r="AE28" s="21" t="s">
        <v>52</v>
      </c>
      <c r="AF28" s="21" t="s">
        <v>53</v>
      </c>
      <c r="AG28" s="27">
        <v>2592.9458321026</v>
      </c>
      <c r="AH28" s="27">
        <v>3150.7609052517</v>
      </c>
      <c r="AI28" s="27">
        <v>2609.9621707029</v>
      </c>
      <c r="AJ28" s="27">
        <v>2740.7919332506999</v>
      </c>
      <c r="AK28" s="27">
        <v>3643.4988009716999</v>
      </c>
      <c r="AL28" s="27">
        <v>3804.9114907378998</v>
      </c>
      <c r="AM28" s="28">
        <v>27</v>
      </c>
      <c r="AN28" s="28">
        <v>23</v>
      </c>
      <c r="AO28" s="28">
        <v>26</v>
      </c>
      <c r="AP28" s="28">
        <v>30</v>
      </c>
      <c r="AQ28" s="28">
        <v>25</v>
      </c>
      <c r="AR28" s="28">
        <v>25</v>
      </c>
    </row>
    <row r="29" spans="1:44" x14ac:dyDescent="0.2">
      <c r="A29" s="21" t="s">
        <v>39</v>
      </c>
      <c r="B29" s="21" t="s">
        <v>40</v>
      </c>
      <c r="C29" s="21" t="s">
        <v>41</v>
      </c>
      <c r="D29" s="21">
        <v>2024</v>
      </c>
      <c r="E29" s="21" t="s">
        <v>42</v>
      </c>
      <c r="F29" s="21" t="s">
        <v>43</v>
      </c>
      <c r="G29" s="21" t="s">
        <v>44</v>
      </c>
      <c r="H29" s="21">
        <v>714778</v>
      </c>
      <c r="I29" s="21" t="s">
        <v>45</v>
      </c>
      <c r="J29" s="21">
        <v>2</v>
      </c>
      <c r="K29" s="21" t="s">
        <v>46</v>
      </c>
      <c r="L29" s="21" t="s">
        <v>96</v>
      </c>
      <c r="M29" s="21" t="s">
        <v>96</v>
      </c>
      <c r="N29" s="21" t="s">
        <v>97</v>
      </c>
      <c r="O29" s="21" t="s">
        <v>97</v>
      </c>
      <c r="P29" s="27">
        <v>0.80216262940000005</v>
      </c>
      <c r="Q29" s="27">
        <v>0.80165533600000005</v>
      </c>
      <c r="R29" s="27">
        <v>0.74770023929999996</v>
      </c>
      <c r="S29" s="27">
        <v>0.87959320389999995</v>
      </c>
      <c r="T29" s="27">
        <v>0.89546127880000004</v>
      </c>
      <c r="U29" s="27">
        <v>0.887777763</v>
      </c>
      <c r="V29" s="21" t="s">
        <v>49</v>
      </c>
      <c r="W29" s="21" t="s">
        <v>50</v>
      </c>
      <c r="X29" s="21" t="s">
        <v>51</v>
      </c>
      <c r="Y29" s="27">
        <v>2712.0300292969</v>
      </c>
      <c r="Z29" s="27">
        <v>2826.0510253906</v>
      </c>
      <c r="AA29" s="27">
        <v>2449.8000488281</v>
      </c>
      <c r="AB29" s="27">
        <v>3370.919921875</v>
      </c>
      <c r="AC29" s="27">
        <v>3711.3828125</v>
      </c>
      <c r="AD29" s="27">
        <v>3945.1999511719</v>
      </c>
      <c r="AE29" s="21" t="s">
        <v>52</v>
      </c>
      <c r="AF29" s="21" t="s">
        <v>53</v>
      </c>
      <c r="AG29" s="27">
        <v>2297.5241234998998</v>
      </c>
      <c r="AH29" s="27">
        <v>2524.4776472727999</v>
      </c>
      <c r="AI29" s="27">
        <v>2149.6388055248999</v>
      </c>
      <c r="AJ29" s="27">
        <v>2849.6967023141001</v>
      </c>
      <c r="AK29" s="27">
        <v>3529.2115688629001</v>
      </c>
      <c r="AL29" s="27">
        <v>3655.8992563604002</v>
      </c>
      <c r="AM29" s="28">
        <v>29</v>
      </c>
      <c r="AN29" s="28">
        <v>28</v>
      </c>
      <c r="AO29" s="28">
        <v>30</v>
      </c>
      <c r="AP29" s="28">
        <v>27</v>
      </c>
      <c r="AQ29" s="28">
        <v>28</v>
      </c>
      <c r="AR29" s="28">
        <v>26</v>
      </c>
    </row>
    <row r="30" spans="1:44" x14ac:dyDescent="0.2">
      <c r="A30" s="21" t="s">
        <v>39</v>
      </c>
      <c r="B30" s="21" t="s">
        <v>40</v>
      </c>
      <c r="C30" s="21" t="s">
        <v>41</v>
      </c>
      <c r="D30" s="21">
        <v>2024</v>
      </c>
      <c r="E30" s="21" t="s">
        <v>42</v>
      </c>
      <c r="F30" s="21" t="s">
        <v>43</v>
      </c>
      <c r="G30" s="21" t="s">
        <v>44</v>
      </c>
      <c r="H30" s="21">
        <v>714778</v>
      </c>
      <c r="I30" s="21" t="s">
        <v>45</v>
      </c>
      <c r="J30" s="21">
        <v>2</v>
      </c>
      <c r="K30" s="21" t="s">
        <v>46</v>
      </c>
      <c r="L30" s="21" t="s">
        <v>98</v>
      </c>
      <c r="M30" s="21" t="s">
        <v>98</v>
      </c>
      <c r="N30" s="21" t="s">
        <v>99</v>
      </c>
      <c r="O30" s="21" t="s">
        <v>99</v>
      </c>
      <c r="P30" s="27">
        <v>0.91473319480000004</v>
      </c>
      <c r="Q30" s="27">
        <v>0.88114401119999997</v>
      </c>
      <c r="R30" s="27">
        <v>0.82765880329999997</v>
      </c>
      <c r="S30" s="27">
        <v>0.85782597179999998</v>
      </c>
      <c r="T30" s="27">
        <v>0.87964685610000004</v>
      </c>
      <c r="U30" s="27">
        <v>0.88276442249999998</v>
      </c>
      <c r="V30" s="21" t="s">
        <v>49</v>
      </c>
      <c r="W30" s="21" t="s">
        <v>50</v>
      </c>
      <c r="X30" s="21" t="s">
        <v>51</v>
      </c>
      <c r="Y30" s="27">
        <v>3092.6196289063</v>
      </c>
      <c r="Z30" s="27">
        <v>3106.2700195313</v>
      </c>
      <c r="AA30" s="27">
        <v>2711.7800292969</v>
      </c>
      <c r="AB30" s="27">
        <v>3287.5</v>
      </c>
      <c r="AC30" s="27">
        <v>3645.8374023438</v>
      </c>
      <c r="AD30" s="27">
        <v>3922.9211425781</v>
      </c>
      <c r="AE30" s="21" t="s">
        <v>52</v>
      </c>
      <c r="AF30" s="21" t="s">
        <v>53</v>
      </c>
      <c r="AG30" s="27">
        <v>2619.9445159032998</v>
      </c>
      <c r="AH30" s="27">
        <v>2774.79392985</v>
      </c>
      <c r="AI30" s="27">
        <v>2379.5197431776</v>
      </c>
      <c r="AJ30" s="27">
        <v>2779.1754553596002</v>
      </c>
      <c r="AK30" s="27">
        <v>3466.8834201658001</v>
      </c>
      <c r="AL30" s="27">
        <v>3635.2541481837002</v>
      </c>
      <c r="AM30" s="28">
        <v>26</v>
      </c>
      <c r="AN30" s="28">
        <v>27</v>
      </c>
      <c r="AO30" s="28">
        <v>27</v>
      </c>
      <c r="AP30" s="28">
        <v>29</v>
      </c>
      <c r="AQ30" s="28">
        <v>29</v>
      </c>
      <c r="AR30" s="28">
        <v>27</v>
      </c>
    </row>
    <row r="31" spans="1:44" x14ac:dyDescent="0.2">
      <c r="A31" s="21" t="s">
        <v>39</v>
      </c>
      <c r="B31" s="21" t="s">
        <v>40</v>
      </c>
      <c r="C31" s="21" t="s">
        <v>41</v>
      </c>
      <c r="D31" s="21">
        <v>2024</v>
      </c>
      <c r="E31" s="21" t="s">
        <v>42</v>
      </c>
      <c r="F31" s="21" t="s">
        <v>43</v>
      </c>
      <c r="G31" s="21" t="s">
        <v>44</v>
      </c>
      <c r="H31" s="21">
        <v>714778</v>
      </c>
      <c r="I31" s="21" t="s">
        <v>45</v>
      </c>
      <c r="J31" s="21">
        <v>2</v>
      </c>
      <c r="K31" s="21" t="s">
        <v>46</v>
      </c>
      <c r="L31" s="21" t="s">
        <v>100</v>
      </c>
      <c r="M31" s="21" t="s">
        <v>100</v>
      </c>
      <c r="N31" s="21" t="s">
        <v>271</v>
      </c>
      <c r="O31" s="21" t="s">
        <v>63</v>
      </c>
      <c r="P31" s="27">
        <v>1.0914800201999999</v>
      </c>
      <c r="Q31" s="27">
        <v>1.0386216560999999</v>
      </c>
      <c r="R31" s="27">
        <v>0.93310229209999995</v>
      </c>
      <c r="S31" s="27">
        <v>0.91996254919999998</v>
      </c>
      <c r="T31" s="27">
        <v>0.89572799999999997</v>
      </c>
      <c r="U31" s="27">
        <v>0.87300479649999996</v>
      </c>
      <c r="V31" s="21" t="s">
        <v>49</v>
      </c>
      <c r="W31" s="21" t="s">
        <v>50</v>
      </c>
      <c r="X31" s="21" t="s">
        <v>51</v>
      </c>
      <c r="Y31" s="27">
        <v>3690.1826171875</v>
      </c>
      <c r="Z31" s="27">
        <v>3661.4211425781</v>
      </c>
      <c r="AA31" s="27">
        <v>3057.2600097656</v>
      </c>
      <c r="AB31" s="27">
        <v>3525.6298828125</v>
      </c>
      <c r="AC31" s="27">
        <v>3712.48828125</v>
      </c>
      <c r="AD31" s="27">
        <v>3879.5502929688</v>
      </c>
      <c r="AE31" s="21" t="s">
        <v>52</v>
      </c>
      <c r="AF31" s="21" t="s">
        <v>53</v>
      </c>
      <c r="AG31" s="27">
        <v>3126.1761453675999</v>
      </c>
      <c r="AH31" s="27">
        <v>3270.7038013982001</v>
      </c>
      <c r="AI31" s="27">
        <v>2682.6698606343002</v>
      </c>
      <c r="AJ31" s="27">
        <v>2980.4848775649998</v>
      </c>
      <c r="AK31" s="27">
        <v>3530.2627762696002</v>
      </c>
      <c r="AL31" s="27">
        <v>3595.0636739880001</v>
      </c>
      <c r="AM31" s="28">
        <v>19</v>
      </c>
      <c r="AN31" s="28">
        <v>21</v>
      </c>
      <c r="AO31" s="28">
        <v>25</v>
      </c>
      <c r="AP31" s="28">
        <v>25</v>
      </c>
      <c r="AQ31" s="28">
        <v>27</v>
      </c>
      <c r="AR31" s="28">
        <v>28</v>
      </c>
    </row>
    <row r="32" spans="1:44" x14ac:dyDescent="0.2">
      <c r="A32" s="21" t="s">
        <v>39</v>
      </c>
      <c r="B32" s="21" t="s">
        <v>40</v>
      </c>
      <c r="C32" s="21" t="s">
        <v>41</v>
      </c>
      <c r="D32" s="21">
        <v>2024</v>
      </c>
      <c r="E32" s="21" t="s">
        <v>42</v>
      </c>
      <c r="F32" s="21" t="s">
        <v>43</v>
      </c>
      <c r="G32" s="21" t="s">
        <v>44</v>
      </c>
      <c r="H32" s="21">
        <v>714778</v>
      </c>
      <c r="I32" s="21" t="s">
        <v>45</v>
      </c>
      <c r="J32" s="21">
        <v>2</v>
      </c>
      <c r="K32" s="21" t="s">
        <v>46</v>
      </c>
      <c r="L32" s="21" t="s">
        <v>101</v>
      </c>
      <c r="M32" s="21" t="s">
        <v>101</v>
      </c>
      <c r="N32" s="21" t="s">
        <v>102</v>
      </c>
      <c r="O32" s="21" t="s">
        <v>102</v>
      </c>
      <c r="P32" s="27">
        <v>0.81756619399999997</v>
      </c>
      <c r="Q32" s="27">
        <v>0.76122208970000005</v>
      </c>
      <c r="R32" s="27">
        <v>0.97003097760000001</v>
      </c>
      <c r="S32" s="27">
        <v>0.95477229590000001</v>
      </c>
      <c r="T32" s="27">
        <v>0.90140077340000002</v>
      </c>
      <c r="U32" s="27">
        <v>0.87018063779999999</v>
      </c>
      <c r="V32" s="21" t="s">
        <v>49</v>
      </c>
      <c r="W32" s="21" t="s">
        <v>50</v>
      </c>
      <c r="X32" s="21" t="s">
        <v>51</v>
      </c>
      <c r="Y32" s="27">
        <v>2764.1079101562</v>
      </c>
      <c r="Z32" s="27">
        <v>2683.5129394531</v>
      </c>
      <c r="AA32" s="27">
        <v>3178.2548828125</v>
      </c>
      <c r="AB32" s="27">
        <v>3659.0334472656</v>
      </c>
      <c r="AC32" s="27">
        <v>3736</v>
      </c>
      <c r="AD32" s="27">
        <v>3867</v>
      </c>
      <c r="AE32" s="21" t="s">
        <v>52</v>
      </c>
      <c r="AF32" s="21" t="s">
        <v>53</v>
      </c>
      <c r="AG32" s="27">
        <v>2341.6424357172</v>
      </c>
      <c r="AH32" s="27">
        <v>2397.1500765384999</v>
      </c>
      <c r="AI32" s="27">
        <v>2788.8398619352001</v>
      </c>
      <c r="AJ32" s="27">
        <v>3093.2611245568</v>
      </c>
      <c r="AK32" s="27">
        <v>3552.6204348588999</v>
      </c>
      <c r="AL32" s="27">
        <v>3583.4336914016999</v>
      </c>
      <c r="AM32" s="28">
        <v>28</v>
      </c>
      <c r="AN32" s="28">
        <v>29</v>
      </c>
      <c r="AO32" s="28">
        <v>23</v>
      </c>
      <c r="AP32" s="28">
        <v>24</v>
      </c>
      <c r="AQ32" s="28">
        <v>26</v>
      </c>
      <c r="AR32" s="28">
        <v>29</v>
      </c>
    </row>
    <row r="33" spans="1:44" x14ac:dyDescent="0.2">
      <c r="A33" s="21" t="s">
        <v>39</v>
      </c>
      <c r="B33" s="21" t="s">
        <v>40</v>
      </c>
      <c r="C33" s="21" t="s">
        <v>41</v>
      </c>
      <c r="D33" s="21">
        <v>2024</v>
      </c>
      <c r="E33" s="21" t="s">
        <v>42</v>
      </c>
      <c r="F33" s="21" t="s">
        <v>43</v>
      </c>
      <c r="G33" s="21" t="s">
        <v>44</v>
      </c>
      <c r="H33" s="21">
        <v>714778</v>
      </c>
      <c r="I33" s="21" t="s">
        <v>45</v>
      </c>
      <c r="J33" s="21">
        <v>2</v>
      </c>
      <c r="K33" s="21" t="s">
        <v>46</v>
      </c>
      <c r="L33" s="21" t="s">
        <v>103</v>
      </c>
      <c r="M33" s="21" t="s">
        <v>103</v>
      </c>
      <c r="N33" s="21" t="s">
        <v>289</v>
      </c>
      <c r="O33" s="21" t="s">
        <v>87</v>
      </c>
      <c r="P33" s="27">
        <v>0.9594311244</v>
      </c>
      <c r="Q33" s="27">
        <v>0.93361091230000004</v>
      </c>
      <c r="R33" s="27">
        <v>0.65393709259999999</v>
      </c>
      <c r="S33" s="27">
        <v>0.87361519089999995</v>
      </c>
      <c r="T33" s="27">
        <v>0.86918069990000002</v>
      </c>
      <c r="U33" s="27">
        <v>0.86334400460000005</v>
      </c>
      <c r="V33" s="21" t="s">
        <v>49</v>
      </c>
      <c r="W33" s="21" t="s">
        <v>50</v>
      </c>
      <c r="X33" s="21" t="s">
        <v>51</v>
      </c>
      <c r="Y33" s="27">
        <v>3243.7387695313</v>
      </c>
      <c r="Z33" s="27">
        <v>3291.2299804688</v>
      </c>
      <c r="AA33" s="27">
        <v>2142.5900878906</v>
      </c>
      <c r="AB33" s="27">
        <v>3348.0100097656</v>
      </c>
      <c r="AC33" s="27">
        <v>3602.4587402344</v>
      </c>
      <c r="AD33" s="27">
        <v>3836.6186523438</v>
      </c>
      <c r="AE33" s="21" t="s">
        <v>52</v>
      </c>
      <c r="AF33" s="21" t="s">
        <v>53</v>
      </c>
      <c r="AG33" s="27">
        <v>2747.96664964</v>
      </c>
      <c r="AH33" s="27">
        <v>2940.0164551449002</v>
      </c>
      <c r="AI33" s="27">
        <v>1880.0696813872</v>
      </c>
      <c r="AJ33" s="27">
        <v>2830.3291995251998</v>
      </c>
      <c r="AK33" s="27">
        <v>3425.6339765237999</v>
      </c>
      <c r="AL33" s="27">
        <v>3555.2802016728001</v>
      </c>
      <c r="AM33" s="28">
        <v>23</v>
      </c>
      <c r="AN33" s="28">
        <v>26</v>
      </c>
      <c r="AO33" s="28">
        <v>33</v>
      </c>
      <c r="AP33" s="28">
        <v>28</v>
      </c>
      <c r="AQ33" s="28">
        <v>30</v>
      </c>
      <c r="AR33" s="28">
        <v>30</v>
      </c>
    </row>
    <row r="34" spans="1:44" x14ac:dyDescent="0.2">
      <c r="A34" s="21" t="s">
        <v>39</v>
      </c>
      <c r="B34" s="21" t="s">
        <v>40</v>
      </c>
      <c r="C34" s="21" t="s">
        <v>41</v>
      </c>
      <c r="D34" s="21">
        <v>2024</v>
      </c>
      <c r="E34" s="21" t="s">
        <v>42</v>
      </c>
      <c r="F34" s="21" t="s">
        <v>43</v>
      </c>
      <c r="G34" s="21" t="s">
        <v>44</v>
      </c>
      <c r="H34" s="21">
        <v>714778</v>
      </c>
      <c r="I34" s="21" t="s">
        <v>45</v>
      </c>
      <c r="J34" s="21">
        <v>2</v>
      </c>
      <c r="K34" s="21" t="s">
        <v>46</v>
      </c>
      <c r="L34" s="21" t="s">
        <v>104</v>
      </c>
      <c r="M34" s="21" t="s">
        <v>104</v>
      </c>
      <c r="N34" s="21" t="s">
        <v>105</v>
      </c>
      <c r="O34" s="21" t="s">
        <v>105</v>
      </c>
      <c r="P34" s="27">
        <v>0.71460304330000002</v>
      </c>
      <c r="Q34" s="27">
        <v>0.72506031989999997</v>
      </c>
      <c r="R34" s="27">
        <v>0.8234835694</v>
      </c>
      <c r="S34" s="27">
        <v>0.8060302439</v>
      </c>
      <c r="T34" s="27">
        <v>0.81088238550000002</v>
      </c>
      <c r="U34" s="27">
        <v>0.83568827909999999</v>
      </c>
      <c r="V34" s="21" t="s">
        <v>49</v>
      </c>
      <c r="W34" s="21" t="s">
        <v>50</v>
      </c>
      <c r="X34" s="21" t="s">
        <v>51</v>
      </c>
      <c r="Y34" s="27">
        <v>2416</v>
      </c>
      <c r="Z34" s="27">
        <v>2556.0329589844</v>
      </c>
      <c r="AA34" s="27">
        <v>2698.1000976563</v>
      </c>
      <c r="AB34" s="27">
        <v>3089</v>
      </c>
      <c r="AC34" s="27">
        <v>3360.83203125</v>
      </c>
      <c r="AD34" s="27">
        <v>3713.7192382813</v>
      </c>
      <c r="AE34" s="21" t="s">
        <v>52</v>
      </c>
      <c r="AF34" s="21" t="s">
        <v>53</v>
      </c>
      <c r="AG34" s="27">
        <v>2046.7392404998</v>
      </c>
      <c r="AH34" s="27">
        <v>2283.2737316754001</v>
      </c>
      <c r="AI34" s="27">
        <v>2367.5159423262999</v>
      </c>
      <c r="AJ34" s="27">
        <v>2611.3682073325999</v>
      </c>
      <c r="AK34" s="27">
        <v>3195.8673855318998</v>
      </c>
      <c r="AL34" s="27">
        <v>3441.3929761736999</v>
      </c>
      <c r="AM34" s="28">
        <v>34</v>
      </c>
      <c r="AN34" s="28">
        <v>32</v>
      </c>
      <c r="AO34" s="28">
        <v>28</v>
      </c>
      <c r="AP34" s="28">
        <v>31</v>
      </c>
      <c r="AQ34" s="28">
        <v>31</v>
      </c>
      <c r="AR34" s="28">
        <v>31</v>
      </c>
    </row>
    <row r="35" spans="1:44" x14ac:dyDescent="0.2">
      <c r="A35" s="21" t="s">
        <v>39</v>
      </c>
      <c r="B35" s="21" t="s">
        <v>40</v>
      </c>
      <c r="C35" s="21" t="s">
        <v>41</v>
      </c>
      <c r="D35" s="21">
        <v>2024</v>
      </c>
      <c r="E35" s="21" t="s">
        <v>42</v>
      </c>
      <c r="F35" s="21" t="s">
        <v>43</v>
      </c>
      <c r="G35" s="21" t="s">
        <v>44</v>
      </c>
      <c r="H35" s="21">
        <v>714778</v>
      </c>
      <c r="I35" s="21" t="s">
        <v>45</v>
      </c>
      <c r="J35" s="21">
        <v>2</v>
      </c>
      <c r="K35" s="21" t="s">
        <v>46</v>
      </c>
      <c r="L35" s="21" t="s">
        <v>106</v>
      </c>
      <c r="M35" s="21" t="s">
        <v>106</v>
      </c>
      <c r="N35" s="21" t="s">
        <v>107</v>
      </c>
      <c r="O35" s="21" t="s">
        <v>107</v>
      </c>
      <c r="P35" s="27">
        <v>0.36118214599999998</v>
      </c>
      <c r="Q35" s="27">
        <v>0.40442865750000001</v>
      </c>
      <c r="R35" s="27">
        <v>0.55063919250000004</v>
      </c>
      <c r="S35" s="27">
        <v>0.63200705599999996</v>
      </c>
      <c r="T35" s="27">
        <v>0.73282726409999999</v>
      </c>
      <c r="U35" s="27">
        <v>0.83564432840000002</v>
      </c>
      <c r="V35" s="21" t="s">
        <v>49</v>
      </c>
      <c r="W35" s="21" t="s">
        <v>50</v>
      </c>
      <c r="X35" s="21" t="s">
        <v>51</v>
      </c>
      <c r="Y35" s="27">
        <v>1221.1199951172</v>
      </c>
      <c r="Z35" s="27">
        <v>1425.7199707031</v>
      </c>
      <c r="AA35" s="27">
        <v>1804.1400146484</v>
      </c>
      <c r="AB35" s="27">
        <v>2422.080078125</v>
      </c>
      <c r="AC35" s="27">
        <v>3037.3200683594</v>
      </c>
      <c r="AD35" s="27">
        <v>3713.5239257813</v>
      </c>
      <c r="AE35" s="21" t="s">
        <v>52</v>
      </c>
      <c r="AF35" s="21" t="s">
        <v>53</v>
      </c>
      <c r="AG35" s="27">
        <v>1034.4843590088001</v>
      </c>
      <c r="AH35" s="27">
        <v>1273.5786314449001</v>
      </c>
      <c r="AI35" s="27">
        <v>1583.088133231</v>
      </c>
      <c r="AJ35" s="27">
        <v>2047.5697350693999</v>
      </c>
      <c r="AK35" s="27">
        <v>2888.2348345987002</v>
      </c>
      <c r="AL35" s="27">
        <v>3441.2119858988999</v>
      </c>
      <c r="AM35" s="28">
        <v>49</v>
      </c>
      <c r="AN35" s="28">
        <v>46</v>
      </c>
      <c r="AO35" s="28">
        <v>41</v>
      </c>
      <c r="AP35" s="28">
        <v>34</v>
      </c>
      <c r="AQ35" s="28">
        <v>32</v>
      </c>
      <c r="AR35" s="28">
        <v>32</v>
      </c>
    </row>
    <row r="36" spans="1:44" x14ac:dyDescent="0.2">
      <c r="A36" s="21" t="s">
        <v>39</v>
      </c>
      <c r="B36" s="21" t="s">
        <v>40</v>
      </c>
      <c r="C36" s="21" t="s">
        <v>41</v>
      </c>
      <c r="D36" s="21">
        <v>2024</v>
      </c>
      <c r="E36" s="21" t="s">
        <v>42</v>
      </c>
      <c r="F36" s="21" t="s">
        <v>43</v>
      </c>
      <c r="G36" s="21" t="s">
        <v>44</v>
      </c>
      <c r="H36" s="21">
        <v>714778</v>
      </c>
      <c r="I36" s="21" t="s">
        <v>45</v>
      </c>
      <c r="J36" s="21">
        <v>2</v>
      </c>
      <c r="K36" s="21" t="s">
        <v>46</v>
      </c>
      <c r="L36" s="21" t="s">
        <v>108</v>
      </c>
      <c r="M36" s="21" t="s">
        <v>108</v>
      </c>
      <c r="N36" s="21" t="s">
        <v>109</v>
      </c>
      <c r="O36" s="21" t="s">
        <v>109</v>
      </c>
      <c r="P36" s="27">
        <v>0.36286514959999999</v>
      </c>
      <c r="Q36" s="27">
        <v>0.42958135759999999</v>
      </c>
      <c r="R36" s="27">
        <v>0.58458266729999997</v>
      </c>
      <c r="S36" s="27">
        <v>0.58252318240000001</v>
      </c>
      <c r="T36" s="27">
        <v>0.64883064530000001</v>
      </c>
      <c r="U36" s="27">
        <v>0.7092235858</v>
      </c>
      <c r="V36" s="21" t="s">
        <v>49</v>
      </c>
      <c r="W36" s="21" t="s">
        <v>50</v>
      </c>
      <c r="X36" s="21" t="s">
        <v>51</v>
      </c>
      <c r="Y36" s="27">
        <v>1226.8100585938</v>
      </c>
      <c r="Z36" s="27">
        <v>1514.3900146484</v>
      </c>
      <c r="AA36" s="27">
        <v>1915.3540039063</v>
      </c>
      <c r="AB36" s="27">
        <v>2232.4399414063</v>
      </c>
      <c r="AC36" s="27">
        <v>2689.1826171875</v>
      </c>
      <c r="AD36" s="27">
        <v>3151.7221679688</v>
      </c>
      <c r="AE36" s="21" t="s">
        <v>52</v>
      </c>
      <c r="AF36" s="21" t="s">
        <v>53</v>
      </c>
      <c r="AG36" s="27">
        <v>1039.3047547863</v>
      </c>
      <c r="AH36" s="27">
        <v>1352.786523274</v>
      </c>
      <c r="AI36" s="27">
        <v>1680.6756515022</v>
      </c>
      <c r="AJ36" s="27">
        <v>1887.2524078238</v>
      </c>
      <c r="AK36" s="27">
        <v>2557.1855243276</v>
      </c>
      <c r="AL36" s="27">
        <v>2920.6070345582998</v>
      </c>
      <c r="AM36" s="28">
        <v>48</v>
      </c>
      <c r="AN36" s="28">
        <v>44</v>
      </c>
      <c r="AO36" s="28">
        <v>37</v>
      </c>
      <c r="AP36" s="28">
        <v>40</v>
      </c>
      <c r="AQ36" s="28">
        <v>34</v>
      </c>
      <c r="AR36" s="28">
        <v>33</v>
      </c>
    </row>
    <row r="37" spans="1:44" x14ac:dyDescent="0.2">
      <c r="A37" s="21" t="s">
        <v>39</v>
      </c>
      <c r="B37" s="21" t="s">
        <v>40</v>
      </c>
      <c r="C37" s="21" t="s">
        <v>41</v>
      </c>
      <c r="D37" s="21">
        <v>2024</v>
      </c>
      <c r="E37" s="21" t="s">
        <v>42</v>
      </c>
      <c r="F37" s="21" t="s">
        <v>43</v>
      </c>
      <c r="G37" s="21" t="s">
        <v>44</v>
      </c>
      <c r="H37" s="21">
        <v>714778</v>
      </c>
      <c r="I37" s="21" t="s">
        <v>45</v>
      </c>
      <c r="J37" s="21">
        <v>2</v>
      </c>
      <c r="K37" s="21" t="s">
        <v>46</v>
      </c>
      <c r="L37" s="21" t="s">
        <v>110</v>
      </c>
      <c r="M37" s="21" t="s">
        <v>110</v>
      </c>
      <c r="N37" s="21" t="s">
        <v>290</v>
      </c>
      <c r="O37" s="21" t="s">
        <v>111</v>
      </c>
      <c r="P37" s="27">
        <v>0.77616653700000005</v>
      </c>
      <c r="Q37" s="27">
        <v>0.75228632539999996</v>
      </c>
      <c r="R37" s="27">
        <v>0.65979097419999999</v>
      </c>
      <c r="S37" s="27">
        <v>0.72896548409999995</v>
      </c>
      <c r="T37" s="27">
        <v>0.6962815712</v>
      </c>
      <c r="U37" s="27">
        <v>0.66952648150000005</v>
      </c>
      <c r="V37" s="21" t="s">
        <v>49</v>
      </c>
      <c r="W37" s="21" t="s">
        <v>50</v>
      </c>
      <c r="X37" s="21" t="s">
        <v>51</v>
      </c>
      <c r="Y37" s="27">
        <v>2624.1398925781</v>
      </c>
      <c r="Z37" s="27">
        <v>2652.0119628906</v>
      </c>
      <c r="AA37" s="27">
        <v>2161.7700195313</v>
      </c>
      <c r="AB37" s="27">
        <v>2793.6599121094</v>
      </c>
      <c r="AC37" s="27">
        <v>2885.8505859375</v>
      </c>
      <c r="AD37" s="27">
        <v>2975.3120117188</v>
      </c>
      <c r="AE37" s="21" t="s">
        <v>52</v>
      </c>
      <c r="AF37" s="21" t="s">
        <v>53</v>
      </c>
      <c r="AG37" s="27">
        <v>2223.0670905217999</v>
      </c>
      <c r="AH37" s="27">
        <v>2369.0106301926999</v>
      </c>
      <c r="AI37" s="27">
        <v>1896.8995958783</v>
      </c>
      <c r="AJ37" s="27">
        <v>2361.6946185114998</v>
      </c>
      <c r="AK37" s="27">
        <v>2744.2001508435001</v>
      </c>
      <c r="AL37" s="27">
        <v>2757.1329985066</v>
      </c>
      <c r="AM37" s="28">
        <v>30</v>
      </c>
      <c r="AN37" s="28">
        <v>31</v>
      </c>
      <c r="AO37" s="28">
        <v>32</v>
      </c>
      <c r="AP37" s="28">
        <v>32</v>
      </c>
      <c r="AQ37" s="28">
        <v>33</v>
      </c>
      <c r="AR37" s="28">
        <v>34</v>
      </c>
    </row>
    <row r="38" spans="1:44" x14ac:dyDescent="0.2">
      <c r="A38" s="21" t="s">
        <v>39</v>
      </c>
      <c r="B38" s="21" t="s">
        <v>40</v>
      </c>
      <c r="C38" s="21" t="s">
        <v>41</v>
      </c>
      <c r="D38" s="21">
        <v>2024</v>
      </c>
      <c r="E38" s="21" t="s">
        <v>42</v>
      </c>
      <c r="F38" s="21" t="s">
        <v>43</v>
      </c>
      <c r="G38" s="21" t="s">
        <v>44</v>
      </c>
      <c r="H38" s="21">
        <v>714778</v>
      </c>
      <c r="I38" s="21" t="s">
        <v>45</v>
      </c>
      <c r="J38" s="21">
        <v>2</v>
      </c>
      <c r="K38" s="21" t="s">
        <v>46</v>
      </c>
      <c r="L38" s="21" t="s">
        <v>112</v>
      </c>
      <c r="M38" s="21" t="s">
        <v>112</v>
      </c>
      <c r="N38" s="21" t="s">
        <v>81</v>
      </c>
      <c r="O38" s="21" t="s">
        <v>81</v>
      </c>
      <c r="P38" s="27">
        <v>0.518797077</v>
      </c>
      <c r="Q38" s="27">
        <v>0.5290659419</v>
      </c>
      <c r="R38" s="27">
        <v>0.4846103571</v>
      </c>
      <c r="S38" s="27">
        <v>0.58526039490000004</v>
      </c>
      <c r="T38" s="27">
        <v>0.62558248849999998</v>
      </c>
      <c r="U38" s="27">
        <v>0.64238607729999997</v>
      </c>
      <c r="V38" s="21" t="s">
        <v>49</v>
      </c>
      <c r="W38" s="21" t="s">
        <v>50</v>
      </c>
      <c r="X38" s="21" t="s">
        <v>51</v>
      </c>
      <c r="Y38" s="27">
        <v>1754</v>
      </c>
      <c r="Z38" s="27">
        <v>1865.0999755859</v>
      </c>
      <c r="AA38" s="27">
        <v>1587.8000488281</v>
      </c>
      <c r="AB38" s="27">
        <v>2242.9299316406</v>
      </c>
      <c r="AC38" s="27">
        <v>2592.8269042969</v>
      </c>
      <c r="AD38" s="27">
        <v>2854.7026367188</v>
      </c>
      <c r="AE38" s="21" t="s">
        <v>52</v>
      </c>
      <c r="AF38" s="21" t="s">
        <v>53</v>
      </c>
      <c r="AG38" s="27">
        <v>1485.9191340384</v>
      </c>
      <c r="AH38" s="27">
        <v>1666.0715450616999</v>
      </c>
      <c r="AI38" s="27">
        <v>1393.25517689</v>
      </c>
      <c r="AJ38" s="27">
        <v>1896.1203997283999</v>
      </c>
      <c r="AK38" s="27">
        <v>2465.5593801545001</v>
      </c>
      <c r="AL38" s="27">
        <v>2645.3678839802001</v>
      </c>
      <c r="AM38" s="28">
        <v>39</v>
      </c>
      <c r="AN38" s="28">
        <v>39</v>
      </c>
      <c r="AO38" s="28">
        <v>43</v>
      </c>
      <c r="AP38" s="28">
        <v>39</v>
      </c>
      <c r="AQ38" s="28">
        <v>36</v>
      </c>
      <c r="AR38" s="28">
        <v>35</v>
      </c>
    </row>
    <row r="39" spans="1:44" x14ac:dyDescent="0.2">
      <c r="A39" s="21" t="s">
        <v>39</v>
      </c>
      <c r="B39" s="21" t="s">
        <v>40</v>
      </c>
      <c r="C39" s="21" t="s">
        <v>41</v>
      </c>
      <c r="D39" s="21">
        <v>2024</v>
      </c>
      <c r="E39" s="21" t="s">
        <v>42</v>
      </c>
      <c r="F39" s="21" t="s">
        <v>43</v>
      </c>
      <c r="G39" s="21" t="s">
        <v>44</v>
      </c>
      <c r="H39" s="21">
        <v>714778</v>
      </c>
      <c r="I39" s="21" t="s">
        <v>45</v>
      </c>
      <c r="J39" s="21">
        <v>2</v>
      </c>
      <c r="K39" s="21" t="s">
        <v>46</v>
      </c>
      <c r="L39" s="21" t="s">
        <v>113</v>
      </c>
      <c r="M39" s="21" t="s">
        <v>113</v>
      </c>
      <c r="N39" s="21" t="s">
        <v>114</v>
      </c>
      <c r="O39" s="21" t="s">
        <v>114</v>
      </c>
      <c r="P39" s="27">
        <v>0.2949482652</v>
      </c>
      <c r="Q39" s="27">
        <v>0.31992448579999999</v>
      </c>
      <c r="R39" s="27">
        <v>0.39482176670000002</v>
      </c>
      <c r="S39" s="27">
        <v>0.486409015</v>
      </c>
      <c r="T39" s="27">
        <v>0.58007182879999997</v>
      </c>
      <c r="U39" s="27">
        <v>0.63947480059999995</v>
      </c>
      <c r="V39" s="21" t="s">
        <v>49</v>
      </c>
      <c r="W39" s="21" t="s">
        <v>50</v>
      </c>
      <c r="X39" s="21" t="s">
        <v>51</v>
      </c>
      <c r="Y39" s="27">
        <v>997.19</v>
      </c>
      <c r="Z39" s="27">
        <v>1127.82</v>
      </c>
      <c r="AA39" s="27">
        <v>1293.6125099999999</v>
      </c>
      <c r="AB39" s="27">
        <v>1864.0956200000001</v>
      </c>
      <c r="AC39" s="27">
        <v>2404.2006799999999</v>
      </c>
      <c r="AD39" s="27">
        <v>2841.7651999999998</v>
      </c>
      <c r="AE39" s="21" t="s">
        <v>52</v>
      </c>
      <c r="AF39" s="21" t="s">
        <v>53</v>
      </c>
      <c r="AG39" s="27">
        <v>844.77976127240004</v>
      </c>
      <c r="AH39" s="27">
        <v>1007.4681435568</v>
      </c>
      <c r="AI39" s="27">
        <v>1135.1129052915001</v>
      </c>
      <c r="AJ39" s="27">
        <v>1575.8627508889001</v>
      </c>
      <c r="AK39" s="27">
        <v>2286.1917733590999</v>
      </c>
      <c r="AL39" s="27">
        <v>2633.3791468148002</v>
      </c>
      <c r="AM39" s="28">
        <v>53</v>
      </c>
      <c r="AN39" s="28">
        <v>52</v>
      </c>
      <c r="AO39" s="28">
        <v>48</v>
      </c>
      <c r="AP39" s="28">
        <v>45</v>
      </c>
      <c r="AQ39" s="28">
        <v>41</v>
      </c>
      <c r="AR39" s="28">
        <v>36</v>
      </c>
    </row>
    <row r="40" spans="1:44" x14ac:dyDescent="0.2">
      <c r="A40" s="21" t="s">
        <v>39</v>
      </c>
      <c r="B40" s="21" t="s">
        <v>40</v>
      </c>
      <c r="C40" s="21" t="s">
        <v>41</v>
      </c>
      <c r="D40" s="21">
        <v>2024</v>
      </c>
      <c r="E40" s="21" t="s">
        <v>42</v>
      </c>
      <c r="F40" s="21" t="s">
        <v>43</v>
      </c>
      <c r="G40" s="21" t="s">
        <v>44</v>
      </c>
      <c r="H40" s="21">
        <v>714778</v>
      </c>
      <c r="I40" s="21" t="s">
        <v>45</v>
      </c>
      <c r="J40" s="21">
        <v>2</v>
      </c>
      <c r="K40" s="21" t="s">
        <v>46</v>
      </c>
      <c r="L40" s="21" t="s">
        <v>115</v>
      </c>
      <c r="M40" s="21" t="s">
        <v>115</v>
      </c>
      <c r="N40" s="21" t="s">
        <v>116</v>
      </c>
      <c r="O40" s="21" t="s">
        <v>116</v>
      </c>
      <c r="P40" s="27">
        <v>0.73373331289999999</v>
      </c>
      <c r="Q40" s="27">
        <v>0.71743111020000006</v>
      </c>
      <c r="R40" s="27">
        <v>0.54539874600000005</v>
      </c>
      <c r="S40" s="27">
        <v>0.64065182379999996</v>
      </c>
      <c r="T40" s="27">
        <v>0.64332363020000005</v>
      </c>
      <c r="U40" s="27">
        <v>0.62640353410000005</v>
      </c>
      <c r="V40" s="21" t="s">
        <v>49</v>
      </c>
      <c r="W40" s="21" t="s">
        <v>50</v>
      </c>
      <c r="X40" s="21" t="s">
        <v>51</v>
      </c>
      <c r="Y40" s="27">
        <v>2480.6774902344</v>
      </c>
      <c r="Z40" s="27">
        <v>2529.1379394531</v>
      </c>
      <c r="AA40" s="27">
        <v>1786.9699707031</v>
      </c>
      <c r="AB40" s="27">
        <v>2455.2099609375</v>
      </c>
      <c r="AC40" s="27">
        <v>2666.3579101563</v>
      </c>
      <c r="AD40" s="27">
        <v>2783.677734375</v>
      </c>
      <c r="AE40" s="21" t="s">
        <v>52</v>
      </c>
      <c r="AF40" s="21" t="s">
        <v>53</v>
      </c>
      <c r="AG40" s="27">
        <v>2101.5314413441001</v>
      </c>
      <c r="AH40" s="27">
        <v>2259.2487317657001</v>
      </c>
      <c r="AI40" s="27">
        <v>1568.0218453619</v>
      </c>
      <c r="AJ40" s="27">
        <v>2075.5769615793001</v>
      </c>
      <c r="AK40" s="27">
        <v>2535.4811558534998</v>
      </c>
      <c r="AL40" s="27">
        <v>2579.5512230059999</v>
      </c>
      <c r="AM40" s="28">
        <v>32</v>
      </c>
      <c r="AN40" s="28">
        <v>33</v>
      </c>
      <c r="AO40" s="28">
        <v>42</v>
      </c>
      <c r="AP40" s="28">
        <v>33</v>
      </c>
      <c r="AQ40" s="28">
        <v>35</v>
      </c>
      <c r="AR40" s="28">
        <v>37</v>
      </c>
    </row>
    <row r="41" spans="1:44" x14ac:dyDescent="0.2">
      <c r="A41" s="21" t="s">
        <v>39</v>
      </c>
      <c r="B41" s="21" t="s">
        <v>40</v>
      </c>
      <c r="C41" s="21" t="s">
        <v>41</v>
      </c>
      <c r="D41" s="21">
        <v>2024</v>
      </c>
      <c r="E41" s="21" t="s">
        <v>42</v>
      </c>
      <c r="F41" s="21" t="s">
        <v>43</v>
      </c>
      <c r="G41" s="21" t="s">
        <v>44</v>
      </c>
      <c r="H41" s="21">
        <v>714778</v>
      </c>
      <c r="I41" s="21" t="s">
        <v>45</v>
      </c>
      <c r="J41" s="21">
        <v>2</v>
      </c>
      <c r="K41" s="21" t="s">
        <v>46</v>
      </c>
      <c r="L41" s="21" t="s">
        <v>117</v>
      </c>
      <c r="M41" s="21" t="s">
        <v>117</v>
      </c>
      <c r="N41" s="21" t="s">
        <v>118</v>
      </c>
      <c r="O41" s="21" t="s">
        <v>118</v>
      </c>
      <c r="P41" s="27">
        <v>0.466964408</v>
      </c>
      <c r="Q41" s="27">
        <v>0.50969664709999996</v>
      </c>
      <c r="R41" s="27">
        <v>0.59630451370000004</v>
      </c>
      <c r="S41" s="27">
        <v>0.59668601300000002</v>
      </c>
      <c r="T41" s="27">
        <v>0.61462276849999997</v>
      </c>
      <c r="U41" s="27">
        <v>0.62024049950000004</v>
      </c>
      <c r="V41" s="21" t="s">
        <v>49</v>
      </c>
      <c r="W41" s="21" t="s">
        <v>50</v>
      </c>
      <c r="X41" s="21" t="s">
        <v>51</v>
      </c>
      <c r="Y41" s="27">
        <v>1578.7590332031</v>
      </c>
      <c r="Z41" s="27">
        <v>1796.8179931641</v>
      </c>
      <c r="AA41" s="27">
        <v>1953.7600097656</v>
      </c>
      <c r="AB41" s="27">
        <v>2286.7170410156</v>
      </c>
      <c r="AC41" s="27">
        <v>2547.4025878906</v>
      </c>
      <c r="AD41" s="27">
        <v>2756.2897949219</v>
      </c>
      <c r="AE41" s="21" t="s">
        <v>52</v>
      </c>
      <c r="AF41" s="21" t="s">
        <v>53</v>
      </c>
      <c r="AG41" s="27">
        <v>1337.4619472477</v>
      </c>
      <c r="AH41" s="27">
        <v>1605.0760652254</v>
      </c>
      <c r="AI41" s="27">
        <v>1714.3759694527</v>
      </c>
      <c r="AJ41" s="27">
        <v>1933.1369958154</v>
      </c>
      <c r="AK41" s="27">
        <v>2422.3646920644001</v>
      </c>
      <c r="AL41" s="27">
        <v>2554.1716354770001</v>
      </c>
      <c r="AM41" s="28">
        <v>43</v>
      </c>
      <c r="AN41" s="28">
        <v>42</v>
      </c>
      <c r="AO41" s="28">
        <v>35</v>
      </c>
      <c r="AP41" s="28">
        <v>38</v>
      </c>
      <c r="AQ41" s="28">
        <v>37</v>
      </c>
      <c r="AR41" s="28">
        <v>38</v>
      </c>
    </row>
    <row r="42" spans="1:44" x14ac:dyDescent="0.2">
      <c r="A42" s="21" t="s">
        <v>39</v>
      </c>
      <c r="B42" s="21" t="s">
        <v>40</v>
      </c>
      <c r="C42" s="21" t="s">
        <v>41</v>
      </c>
      <c r="D42" s="21">
        <v>2024</v>
      </c>
      <c r="E42" s="21" t="s">
        <v>42</v>
      </c>
      <c r="F42" s="21" t="s">
        <v>43</v>
      </c>
      <c r="G42" s="21" t="s">
        <v>44</v>
      </c>
      <c r="H42" s="21">
        <v>714778</v>
      </c>
      <c r="I42" s="21" t="s">
        <v>45</v>
      </c>
      <c r="J42" s="21">
        <v>2</v>
      </c>
      <c r="K42" s="21" t="s">
        <v>46</v>
      </c>
      <c r="L42" s="21" t="s">
        <v>119</v>
      </c>
      <c r="M42" s="21" t="s">
        <v>119</v>
      </c>
      <c r="N42" s="21" t="s">
        <v>291</v>
      </c>
      <c r="O42" s="21" t="s">
        <v>120</v>
      </c>
      <c r="P42" s="27">
        <v>0.57865987519999995</v>
      </c>
      <c r="Q42" s="27">
        <v>0.58103646170000001</v>
      </c>
      <c r="R42" s="27">
        <v>0.6901536493</v>
      </c>
      <c r="S42" s="27">
        <v>0.60251489260000002</v>
      </c>
      <c r="T42" s="27">
        <v>0.60848523570000002</v>
      </c>
      <c r="U42" s="27">
        <v>0.59721733710000002</v>
      </c>
      <c r="V42" s="21" t="s">
        <v>49</v>
      </c>
      <c r="W42" s="21" t="s">
        <v>50</v>
      </c>
      <c r="X42" s="21" t="s">
        <v>51</v>
      </c>
      <c r="Y42" s="27">
        <v>1956.3900146484</v>
      </c>
      <c r="Z42" s="27">
        <v>2048.3100585938</v>
      </c>
      <c r="AA42" s="27">
        <v>2261.2517089844</v>
      </c>
      <c r="AB42" s="27">
        <v>2309.0554199219</v>
      </c>
      <c r="AC42" s="27">
        <v>2521.9645996094</v>
      </c>
      <c r="AD42" s="27">
        <v>2653.9770507813</v>
      </c>
      <c r="AE42" s="21" t="s">
        <v>52</v>
      </c>
      <c r="AF42" s="21" t="s">
        <v>53</v>
      </c>
      <c r="AG42" s="27">
        <v>1657.3759158539001</v>
      </c>
      <c r="AH42" s="27">
        <v>1829.7309252897001</v>
      </c>
      <c r="AI42" s="27">
        <v>1984.1923119471001</v>
      </c>
      <c r="AJ42" s="27">
        <v>1952.0213378287001</v>
      </c>
      <c r="AK42" s="27">
        <v>2398.1753138551999</v>
      </c>
      <c r="AL42" s="27">
        <v>2459.3614636607999</v>
      </c>
      <c r="AM42" s="28">
        <v>38</v>
      </c>
      <c r="AN42" s="28">
        <v>37</v>
      </c>
      <c r="AO42" s="28">
        <v>31</v>
      </c>
      <c r="AP42" s="28">
        <v>37</v>
      </c>
      <c r="AQ42" s="28">
        <v>38</v>
      </c>
      <c r="AR42" s="28">
        <v>39</v>
      </c>
    </row>
    <row r="43" spans="1:44" x14ac:dyDescent="0.2">
      <c r="A43" s="21" t="s">
        <v>39</v>
      </c>
      <c r="B43" s="21" t="s">
        <v>40</v>
      </c>
      <c r="C43" s="21" t="s">
        <v>41</v>
      </c>
      <c r="D43" s="21">
        <v>2024</v>
      </c>
      <c r="E43" s="21" t="s">
        <v>42</v>
      </c>
      <c r="F43" s="21" t="s">
        <v>43</v>
      </c>
      <c r="G43" s="21" t="s">
        <v>44</v>
      </c>
      <c r="H43" s="21">
        <v>714778</v>
      </c>
      <c r="I43" s="21" t="s">
        <v>45</v>
      </c>
      <c r="J43" s="21">
        <v>2</v>
      </c>
      <c r="K43" s="21" t="s">
        <v>46</v>
      </c>
      <c r="L43" s="21" t="s">
        <v>121</v>
      </c>
      <c r="M43" s="21" t="s">
        <v>121</v>
      </c>
      <c r="N43" s="21" t="s">
        <v>122</v>
      </c>
      <c r="O43" s="21" t="s">
        <v>122</v>
      </c>
      <c r="P43" s="27">
        <v>0.63494255830000002</v>
      </c>
      <c r="Q43" s="27">
        <v>0.59526402850000004</v>
      </c>
      <c r="R43" s="27">
        <v>0.58321381090000002</v>
      </c>
      <c r="S43" s="27">
        <v>0.60511940760000005</v>
      </c>
      <c r="T43" s="27">
        <v>0.59421447370000002</v>
      </c>
      <c r="U43" s="27">
        <v>0.58246541200000002</v>
      </c>
      <c r="V43" s="21" t="s">
        <v>49</v>
      </c>
      <c r="W43" s="21" t="s">
        <v>50</v>
      </c>
      <c r="X43" s="21" t="s">
        <v>51</v>
      </c>
      <c r="Y43" s="27">
        <v>2146.6760253906</v>
      </c>
      <c r="Z43" s="27">
        <v>2098.4660644531</v>
      </c>
      <c r="AA43" s="27">
        <v>1910.8690185547</v>
      </c>
      <c r="AB43" s="27">
        <v>2319.0368652344</v>
      </c>
      <c r="AC43" s="27">
        <v>2462.8171386719</v>
      </c>
      <c r="AD43" s="27">
        <v>2588.4208984375</v>
      </c>
      <c r="AE43" s="21" t="s">
        <v>52</v>
      </c>
      <c r="AF43" s="21" t="s">
        <v>53</v>
      </c>
      <c r="AG43" s="27">
        <v>1818.5786663109</v>
      </c>
      <c r="AH43" s="27">
        <v>1874.5346866269999</v>
      </c>
      <c r="AI43" s="27">
        <v>1676.7401880514001</v>
      </c>
      <c r="AJ43" s="27">
        <v>1960.4594177744</v>
      </c>
      <c r="AK43" s="27">
        <v>2341.9310744557001</v>
      </c>
      <c r="AL43" s="27">
        <v>2398.6125303825002</v>
      </c>
      <c r="AM43" s="28">
        <v>35</v>
      </c>
      <c r="AN43" s="28">
        <v>35</v>
      </c>
      <c r="AO43" s="28">
        <v>38</v>
      </c>
      <c r="AP43" s="28">
        <v>36</v>
      </c>
      <c r="AQ43" s="28">
        <v>39</v>
      </c>
      <c r="AR43" s="28">
        <v>40</v>
      </c>
    </row>
    <row r="44" spans="1:44" x14ac:dyDescent="0.2">
      <c r="A44" s="21" t="s">
        <v>39</v>
      </c>
      <c r="B44" s="21" t="s">
        <v>40</v>
      </c>
      <c r="C44" s="21" t="s">
        <v>41</v>
      </c>
      <c r="D44" s="21">
        <v>2024</v>
      </c>
      <c r="E44" s="21" t="s">
        <v>42</v>
      </c>
      <c r="F44" s="21" t="s">
        <v>43</v>
      </c>
      <c r="G44" s="21" t="s">
        <v>44</v>
      </c>
      <c r="H44" s="21">
        <v>714778</v>
      </c>
      <c r="I44" s="21" t="s">
        <v>45</v>
      </c>
      <c r="J44" s="21">
        <v>2</v>
      </c>
      <c r="K44" s="21" t="s">
        <v>46</v>
      </c>
      <c r="L44" s="21" t="s">
        <v>123</v>
      </c>
      <c r="M44" s="21" t="s">
        <v>123</v>
      </c>
      <c r="N44" s="21" t="s">
        <v>124</v>
      </c>
      <c r="O44" s="21" t="s">
        <v>124</v>
      </c>
      <c r="P44" s="27">
        <v>0.59503078870000004</v>
      </c>
      <c r="Q44" s="27">
        <v>0.58516582800000005</v>
      </c>
      <c r="R44" s="27">
        <v>0.45758105850000003</v>
      </c>
      <c r="S44" s="27">
        <v>0.57945196460000004</v>
      </c>
      <c r="T44" s="27">
        <v>0.59044120519999999</v>
      </c>
      <c r="U44" s="27">
        <v>0.5765639937</v>
      </c>
      <c r="V44" s="21" t="s">
        <v>49</v>
      </c>
      <c r="W44" s="21" t="s">
        <v>50</v>
      </c>
      <c r="X44" s="21" t="s">
        <v>51</v>
      </c>
      <c r="Y44" s="27">
        <v>2011.7384033203</v>
      </c>
      <c r="Z44" s="27">
        <v>2062.8671875</v>
      </c>
      <c r="AA44" s="27">
        <v>1499.2399902344</v>
      </c>
      <c r="AB44" s="27">
        <v>2220.669921875</v>
      </c>
      <c r="AC44" s="27">
        <v>2447.1782226563</v>
      </c>
      <c r="AD44" s="27">
        <v>2562.1955566406</v>
      </c>
      <c r="AE44" s="21" t="s">
        <v>52</v>
      </c>
      <c r="AF44" s="21" t="s">
        <v>53</v>
      </c>
      <c r="AG44" s="27">
        <v>1704.2648723908001</v>
      </c>
      <c r="AH44" s="27">
        <v>1842.7346347777</v>
      </c>
      <c r="AI44" s="27">
        <v>1315.5459211228999</v>
      </c>
      <c r="AJ44" s="27">
        <v>1877.3023091499001</v>
      </c>
      <c r="AK44" s="27">
        <v>2327.0597862822001</v>
      </c>
      <c r="AL44" s="27">
        <v>2374.3102874646002</v>
      </c>
      <c r="AM44" s="28">
        <v>37</v>
      </c>
      <c r="AN44" s="28">
        <v>36</v>
      </c>
      <c r="AO44" s="28">
        <v>44</v>
      </c>
      <c r="AP44" s="28">
        <v>41</v>
      </c>
      <c r="AQ44" s="28">
        <v>40</v>
      </c>
      <c r="AR44" s="28">
        <v>41</v>
      </c>
    </row>
    <row r="45" spans="1:44" x14ac:dyDescent="0.2">
      <c r="A45" s="21" t="s">
        <v>39</v>
      </c>
      <c r="B45" s="21" t="s">
        <v>40</v>
      </c>
      <c r="C45" s="21" t="s">
        <v>41</v>
      </c>
      <c r="D45" s="21">
        <v>2024</v>
      </c>
      <c r="E45" s="21" t="s">
        <v>42</v>
      </c>
      <c r="F45" s="21" t="s">
        <v>43</v>
      </c>
      <c r="G45" s="21" t="s">
        <v>44</v>
      </c>
      <c r="H45" s="21">
        <v>714778</v>
      </c>
      <c r="I45" s="21" t="s">
        <v>45</v>
      </c>
      <c r="J45" s="21">
        <v>2</v>
      </c>
      <c r="K45" s="21" t="s">
        <v>46</v>
      </c>
      <c r="L45" s="21" t="s">
        <v>125</v>
      </c>
      <c r="M45" s="21" t="s">
        <v>125</v>
      </c>
      <c r="N45" s="21" t="s">
        <v>126</v>
      </c>
      <c r="O45" s="21" t="s">
        <v>126</v>
      </c>
      <c r="P45" s="27">
        <v>0.61616764280000003</v>
      </c>
      <c r="Q45" s="27">
        <v>0.57893164549999998</v>
      </c>
      <c r="R45" s="27">
        <v>0.60801749289999996</v>
      </c>
      <c r="S45" s="27">
        <v>0.54796487930000004</v>
      </c>
      <c r="T45" s="27">
        <v>0.56494376629999998</v>
      </c>
      <c r="U45" s="27">
        <v>0.56115006190000005</v>
      </c>
      <c r="V45" s="21" t="s">
        <v>49</v>
      </c>
      <c r="W45" s="21" t="s">
        <v>50</v>
      </c>
      <c r="X45" s="21" t="s">
        <v>51</v>
      </c>
      <c r="Y45" s="27">
        <v>2083.1999511719</v>
      </c>
      <c r="Z45" s="27">
        <v>2040.8900146484</v>
      </c>
      <c r="AA45" s="27">
        <v>1992.1369628906</v>
      </c>
      <c r="AB45" s="27">
        <v>2100</v>
      </c>
      <c r="AC45" s="27">
        <v>2341.5</v>
      </c>
      <c r="AD45" s="27">
        <v>2493.6975097656</v>
      </c>
      <c r="AE45" s="21" t="s">
        <v>52</v>
      </c>
      <c r="AF45" s="21" t="s">
        <v>53</v>
      </c>
      <c r="AG45" s="27">
        <v>1764.8042573969001</v>
      </c>
      <c r="AH45" s="27">
        <v>1823.1026886042</v>
      </c>
      <c r="AI45" s="27">
        <v>1748.0507943489999</v>
      </c>
      <c r="AJ45" s="27">
        <v>1775.2907851727</v>
      </c>
      <c r="AK45" s="27">
        <v>2226.5687227574999</v>
      </c>
      <c r="AL45" s="27">
        <v>2310.8351881714002</v>
      </c>
      <c r="AM45" s="28">
        <v>36</v>
      </c>
      <c r="AN45" s="28">
        <v>38</v>
      </c>
      <c r="AO45" s="28">
        <v>34</v>
      </c>
      <c r="AP45" s="28">
        <v>43</v>
      </c>
      <c r="AQ45" s="28">
        <v>42</v>
      </c>
      <c r="AR45" s="28">
        <v>42</v>
      </c>
    </row>
    <row r="46" spans="1:44" x14ac:dyDescent="0.2">
      <c r="A46" s="21" t="s">
        <v>39</v>
      </c>
      <c r="B46" s="21" t="s">
        <v>40</v>
      </c>
      <c r="C46" s="21" t="s">
        <v>41</v>
      </c>
      <c r="D46" s="21">
        <v>2024</v>
      </c>
      <c r="E46" s="21" t="s">
        <v>42</v>
      </c>
      <c r="F46" s="21" t="s">
        <v>43</v>
      </c>
      <c r="G46" s="21" t="s">
        <v>44</v>
      </c>
      <c r="H46" s="21">
        <v>714778</v>
      </c>
      <c r="I46" s="21" t="s">
        <v>45</v>
      </c>
      <c r="J46" s="21">
        <v>2</v>
      </c>
      <c r="K46" s="21" t="s">
        <v>46</v>
      </c>
      <c r="L46" s="21" t="s">
        <v>127</v>
      </c>
      <c r="M46" s="21" t="s">
        <v>127</v>
      </c>
      <c r="N46" s="21" t="s">
        <v>128</v>
      </c>
      <c r="O46" s="21" t="s">
        <v>128</v>
      </c>
      <c r="P46" s="27">
        <v>0.50737999919999999</v>
      </c>
      <c r="Q46" s="27">
        <v>0.52392307120000003</v>
      </c>
      <c r="R46" s="27">
        <v>0.58741829140000001</v>
      </c>
      <c r="S46" s="27">
        <v>0.56817649920000002</v>
      </c>
      <c r="T46" s="27">
        <v>0.55950773149999999</v>
      </c>
      <c r="U46" s="27">
        <v>0.55157590769999998</v>
      </c>
      <c r="V46" s="21" t="s">
        <v>49</v>
      </c>
      <c r="W46" s="21" t="s">
        <v>50</v>
      </c>
      <c r="X46" s="21" t="s">
        <v>51</v>
      </c>
      <c r="Y46" s="27">
        <v>1715.4000244141</v>
      </c>
      <c r="Z46" s="27">
        <v>1846.9699707031</v>
      </c>
      <c r="AA46" s="27">
        <v>1924.6447753906</v>
      </c>
      <c r="AB46" s="27">
        <v>2177.4582519531</v>
      </c>
      <c r="AC46" s="27">
        <v>2318.9694824219</v>
      </c>
      <c r="AD46" s="27">
        <v>2451.1508789063</v>
      </c>
      <c r="AE46" s="21" t="s">
        <v>52</v>
      </c>
      <c r="AF46" s="21" t="s">
        <v>53</v>
      </c>
      <c r="AG46" s="27">
        <v>1453.2187678488001</v>
      </c>
      <c r="AH46" s="27">
        <v>1649.8762281121999</v>
      </c>
      <c r="AI46" s="27">
        <v>1688.8280731358</v>
      </c>
      <c r="AJ46" s="27">
        <v>1840.7721760908</v>
      </c>
      <c r="AK46" s="27">
        <v>2205.1441036043998</v>
      </c>
      <c r="AL46" s="27">
        <v>2271.4084929354999</v>
      </c>
      <c r="AM46" s="28">
        <v>41</v>
      </c>
      <c r="AN46" s="28">
        <v>41</v>
      </c>
      <c r="AO46" s="28">
        <v>36</v>
      </c>
      <c r="AP46" s="28">
        <v>42</v>
      </c>
      <c r="AQ46" s="28">
        <v>43</v>
      </c>
      <c r="AR46" s="28">
        <v>43</v>
      </c>
    </row>
    <row r="47" spans="1:44" x14ac:dyDescent="0.2">
      <c r="A47" s="21" t="s">
        <v>39</v>
      </c>
      <c r="B47" s="21" t="s">
        <v>40</v>
      </c>
      <c r="C47" s="21" t="s">
        <v>41</v>
      </c>
      <c r="D47" s="21">
        <v>2024</v>
      </c>
      <c r="E47" s="21" t="s">
        <v>42</v>
      </c>
      <c r="F47" s="21" t="s">
        <v>43</v>
      </c>
      <c r="G47" s="21" t="s">
        <v>44</v>
      </c>
      <c r="H47" s="21">
        <v>714778</v>
      </c>
      <c r="I47" s="21" t="s">
        <v>45</v>
      </c>
      <c r="J47" s="21">
        <v>2</v>
      </c>
      <c r="K47" s="21" t="s">
        <v>46</v>
      </c>
      <c r="L47" s="21" t="s">
        <v>129</v>
      </c>
      <c r="M47" s="21" t="s">
        <v>129</v>
      </c>
      <c r="N47" s="21" t="s">
        <v>292</v>
      </c>
      <c r="O47" s="21" t="s">
        <v>130</v>
      </c>
      <c r="P47" s="27">
        <v>0.50457128630000003</v>
      </c>
      <c r="Q47" s="27">
        <v>0.52826373289999995</v>
      </c>
      <c r="R47" s="27">
        <v>0.57208010229999995</v>
      </c>
      <c r="S47" s="27">
        <v>0.54613832969999998</v>
      </c>
      <c r="T47" s="27">
        <v>0.5463960404</v>
      </c>
      <c r="U47" s="27">
        <v>0.54731329920000005</v>
      </c>
      <c r="V47" s="21" t="s">
        <v>49</v>
      </c>
      <c r="W47" s="21" t="s">
        <v>50</v>
      </c>
      <c r="X47" s="21" t="s">
        <v>51</v>
      </c>
      <c r="Y47" s="27">
        <v>1705.9040527344</v>
      </c>
      <c r="Z47" s="27">
        <v>1862.2719726563</v>
      </c>
      <c r="AA47" s="27">
        <v>1874.3900146484</v>
      </c>
      <c r="AB47" s="27">
        <v>2093</v>
      </c>
      <c r="AC47" s="27">
        <v>2264.6259765625</v>
      </c>
      <c r="AD47" s="27">
        <v>2432.2082519531</v>
      </c>
      <c r="AE47" s="21" t="s">
        <v>52</v>
      </c>
      <c r="AF47" s="21" t="s">
        <v>53</v>
      </c>
      <c r="AG47" s="27">
        <v>1445.1741578059</v>
      </c>
      <c r="AH47" s="27">
        <v>1663.5453238016</v>
      </c>
      <c r="AI47" s="27">
        <v>1644.7307665390999</v>
      </c>
      <c r="AJ47" s="27">
        <v>1769.3731492221</v>
      </c>
      <c r="AK47" s="27">
        <v>2153.4680197131001</v>
      </c>
      <c r="AL47" s="27">
        <v>2253.8549248912</v>
      </c>
      <c r="AM47" s="28">
        <v>42</v>
      </c>
      <c r="AN47" s="28">
        <v>40</v>
      </c>
      <c r="AO47" s="28">
        <v>39</v>
      </c>
      <c r="AP47" s="28">
        <v>44</v>
      </c>
      <c r="AQ47" s="28">
        <v>45</v>
      </c>
      <c r="AR47" s="28">
        <v>44</v>
      </c>
    </row>
    <row r="48" spans="1:44" x14ac:dyDescent="0.2">
      <c r="A48" s="21" t="s">
        <v>39</v>
      </c>
      <c r="B48" s="21" t="s">
        <v>40</v>
      </c>
      <c r="C48" s="21" t="s">
        <v>41</v>
      </c>
      <c r="D48" s="21">
        <v>2024</v>
      </c>
      <c r="E48" s="21" t="s">
        <v>42</v>
      </c>
      <c r="F48" s="21" t="s">
        <v>43</v>
      </c>
      <c r="G48" s="21" t="s">
        <v>44</v>
      </c>
      <c r="H48" s="21">
        <v>714778</v>
      </c>
      <c r="I48" s="21" t="s">
        <v>45</v>
      </c>
      <c r="J48" s="21">
        <v>2</v>
      </c>
      <c r="K48" s="21" t="s">
        <v>46</v>
      </c>
      <c r="L48" s="21" t="s">
        <v>131</v>
      </c>
      <c r="M48" s="21" t="s">
        <v>131</v>
      </c>
      <c r="N48" s="21" t="s">
        <v>132</v>
      </c>
      <c r="O48" s="21" t="s">
        <v>132</v>
      </c>
      <c r="P48" s="27">
        <v>0.72061055699999998</v>
      </c>
      <c r="Q48" s="27">
        <v>0.66580495829999997</v>
      </c>
      <c r="R48" s="27">
        <v>0.55879741449999998</v>
      </c>
      <c r="S48" s="27">
        <v>0.60811054819999999</v>
      </c>
      <c r="T48" s="27">
        <v>0.55722911490000004</v>
      </c>
      <c r="U48" s="27">
        <v>0.53737633230000004</v>
      </c>
      <c r="V48" s="21" t="s">
        <v>49</v>
      </c>
      <c r="W48" s="21" t="s">
        <v>50</v>
      </c>
      <c r="X48" s="21" t="s">
        <v>51</v>
      </c>
      <c r="Y48" s="27">
        <v>2436.3107910156</v>
      </c>
      <c r="Z48" s="27">
        <v>2347.1418457031</v>
      </c>
      <c r="AA48" s="27">
        <v>1830.8699951172</v>
      </c>
      <c r="AB48" s="27">
        <v>2330.5</v>
      </c>
      <c r="AC48" s="27">
        <v>2309.525390625</v>
      </c>
      <c r="AD48" s="27">
        <v>2388.0493164062</v>
      </c>
      <c r="AE48" s="21" t="s">
        <v>52</v>
      </c>
      <c r="AF48" s="21" t="s">
        <v>53</v>
      </c>
      <c r="AG48" s="27">
        <v>2063.9457359374001</v>
      </c>
      <c r="AH48" s="27">
        <v>2096.6737936507002</v>
      </c>
      <c r="AI48" s="27">
        <v>1606.5430283822</v>
      </c>
      <c r="AJ48" s="27">
        <v>1970.1500832595</v>
      </c>
      <c r="AK48" s="27">
        <v>2196.1635700106999</v>
      </c>
      <c r="AL48" s="27">
        <v>2212.9341549363999</v>
      </c>
      <c r="AM48" s="28">
        <v>33</v>
      </c>
      <c r="AN48" s="28">
        <v>34</v>
      </c>
      <c r="AO48" s="28">
        <v>40</v>
      </c>
      <c r="AP48" s="28">
        <v>35</v>
      </c>
      <c r="AQ48" s="28">
        <v>44</v>
      </c>
      <c r="AR48" s="28">
        <v>45</v>
      </c>
    </row>
    <row r="49" spans="1:44" x14ac:dyDescent="0.2">
      <c r="A49" s="21" t="s">
        <v>39</v>
      </c>
      <c r="B49" s="21" t="s">
        <v>40</v>
      </c>
      <c r="C49" s="21" t="s">
        <v>41</v>
      </c>
      <c r="D49" s="21">
        <v>2024</v>
      </c>
      <c r="E49" s="21" t="s">
        <v>42</v>
      </c>
      <c r="F49" s="21" t="s">
        <v>43</v>
      </c>
      <c r="G49" s="21" t="s">
        <v>44</v>
      </c>
      <c r="H49" s="21">
        <v>714778</v>
      </c>
      <c r="I49" s="21" t="s">
        <v>45</v>
      </c>
      <c r="J49" s="21">
        <v>2</v>
      </c>
      <c r="K49" s="21" t="s">
        <v>46</v>
      </c>
      <c r="L49" s="21" t="s">
        <v>133</v>
      </c>
      <c r="M49" s="21" t="s">
        <v>133</v>
      </c>
      <c r="N49" s="21" t="s">
        <v>288</v>
      </c>
      <c r="O49" s="21" t="s">
        <v>91</v>
      </c>
      <c r="P49" s="27">
        <v>0.34518048740000001</v>
      </c>
      <c r="Q49" s="27">
        <v>0.39824475370000001</v>
      </c>
      <c r="R49" s="27">
        <v>0.41849676219999998</v>
      </c>
      <c r="S49" s="27">
        <v>0.32635310509999998</v>
      </c>
      <c r="T49" s="27">
        <v>0.32779466489999998</v>
      </c>
      <c r="U49" s="27">
        <v>0.42431037859999998</v>
      </c>
      <c r="V49" s="21" t="s">
        <v>49</v>
      </c>
      <c r="W49" s="21" t="s">
        <v>50</v>
      </c>
      <c r="X49" s="21" t="s">
        <v>51</v>
      </c>
      <c r="Y49" s="27">
        <v>1167.0200195313</v>
      </c>
      <c r="Z49" s="27">
        <v>1403.9200439453</v>
      </c>
      <c r="AA49" s="27">
        <v>1371.1823730469</v>
      </c>
      <c r="AB49" s="27">
        <v>1250.7033691406</v>
      </c>
      <c r="AC49" s="27">
        <v>1358.5975341797</v>
      </c>
      <c r="AD49" s="27">
        <v>1885.5949707031</v>
      </c>
      <c r="AE49" s="21" t="s">
        <v>52</v>
      </c>
      <c r="AF49" s="21" t="s">
        <v>53</v>
      </c>
      <c r="AG49" s="27">
        <v>988.65300845340005</v>
      </c>
      <c r="AH49" s="27">
        <v>1254.1050170911999</v>
      </c>
      <c r="AI49" s="27">
        <v>1203.1785369436</v>
      </c>
      <c r="AJ49" s="27">
        <v>1057.3153172474999</v>
      </c>
      <c r="AK49" s="27">
        <v>1291.9114996455</v>
      </c>
      <c r="AL49" s="27">
        <v>1747.3246822743999</v>
      </c>
      <c r="AM49" s="28">
        <v>51</v>
      </c>
      <c r="AN49" s="28">
        <v>48</v>
      </c>
      <c r="AO49" s="28">
        <v>46</v>
      </c>
      <c r="AP49" s="28">
        <v>50</v>
      </c>
      <c r="AQ49" s="28">
        <v>50</v>
      </c>
      <c r="AR49" s="28">
        <v>46</v>
      </c>
    </row>
    <row r="50" spans="1:44" x14ac:dyDescent="0.2">
      <c r="A50" s="21" t="s">
        <v>39</v>
      </c>
      <c r="B50" s="21" t="s">
        <v>40</v>
      </c>
      <c r="C50" s="21" t="s">
        <v>41</v>
      </c>
      <c r="D50" s="21">
        <v>2024</v>
      </c>
      <c r="E50" s="21" t="s">
        <v>42</v>
      </c>
      <c r="F50" s="21" t="s">
        <v>43</v>
      </c>
      <c r="G50" s="21" t="s">
        <v>44</v>
      </c>
      <c r="H50" s="21">
        <v>714778</v>
      </c>
      <c r="I50" s="21" t="s">
        <v>45</v>
      </c>
      <c r="J50" s="21">
        <v>2</v>
      </c>
      <c r="K50" s="21" t="s">
        <v>46</v>
      </c>
      <c r="L50" s="21" t="s">
        <v>134</v>
      </c>
      <c r="M50" s="21" t="s">
        <v>134</v>
      </c>
      <c r="N50" s="21" t="s">
        <v>126</v>
      </c>
      <c r="O50" s="21" t="s">
        <v>126</v>
      </c>
      <c r="P50" s="27">
        <v>0.42493445060000001</v>
      </c>
      <c r="Q50" s="27">
        <v>0.39897660019999998</v>
      </c>
      <c r="R50" s="27">
        <v>0.41781022890000002</v>
      </c>
      <c r="S50" s="27">
        <v>0.39923155490000001</v>
      </c>
      <c r="T50" s="27">
        <v>0.40495720099999999</v>
      </c>
      <c r="U50" s="27">
        <v>0.40072706520000001</v>
      </c>
      <c r="V50" s="21" t="s">
        <v>49</v>
      </c>
      <c r="W50" s="21" t="s">
        <v>50</v>
      </c>
      <c r="X50" s="21" t="s">
        <v>51</v>
      </c>
      <c r="Y50" s="27">
        <v>1436.6600341797</v>
      </c>
      <c r="Z50" s="27">
        <v>1406.5</v>
      </c>
      <c r="AA50" s="27">
        <v>1368.9329833984</v>
      </c>
      <c r="AB50" s="27">
        <v>1530</v>
      </c>
      <c r="AC50" s="27">
        <v>1678.4100341797</v>
      </c>
      <c r="AD50" s="27">
        <v>1780.79296875</v>
      </c>
      <c r="AE50" s="21" t="s">
        <v>52</v>
      </c>
      <c r="AF50" s="21" t="s">
        <v>53</v>
      </c>
      <c r="AG50" s="27">
        <v>1217.0813192108001</v>
      </c>
      <c r="AH50" s="27">
        <v>1256.4096610387001</v>
      </c>
      <c r="AI50" s="27">
        <v>1201.2047532956001</v>
      </c>
      <c r="AJ50" s="27">
        <v>1293.426143483</v>
      </c>
      <c r="AK50" s="27">
        <v>1596.0261738488</v>
      </c>
      <c r="AL50" s="27">
        <v>1650.2077894051999</v>
      </c>
      <c r="AM50" s="28">
        <v>45</v>
      </c>
      <c r="AN50" s="28">
        <v>47</v>
      </c>
      <c r="AO50" s="28">
        <v>47</v>
      </c>
      <c r="AP50" s="28">
        <v>46</v>
      </c>
      <c r="AQ50" s="28">
        <v>46</v>
      </c>
      <c r="AR50" s="28">
        <v>47</v>
      </c>
    </row>
    <row r="51" spans="1:44" x14ac:dyDescent="0.2">
      <c r="A51" s="21" t="s">
        <v>39</v>
      </c>
      <c r="B51" s="21" t="s">
        <v>40</v>
      </c>
      <c r="C51" s="21" t="s">
        <v>41</v>
      </c>
      <c r="D51" s="21">
        <v>2024</v>
      </c>
      <c r="E51" s="21" t="s">
        <v>42</v>
      </c>
      <c r="F51" s="21" t="s">
        <v>43</v>
      </c>
      <c r="G51" s="21" t="s">
        <v>44</v>
      </c>
      <c r="H51" s="21">
        <v>714778</v>
      </c>
      <c r="I51" s="21" t="s">
        <v>45</v>
      </c>
      <c r="J51" s="21">
        <v>2</v>
      </c>
      <c r="K51" s="21" t="s">
        <v>46</v>
      </c>
      <c r="L51" s="21" t="s">
        <v>135</v>
      </c>
      <c r="M51" s="21" t="s">
        <v>135</v>
      </c>
      <c r="N51" s="21" t="s">
        <v>136</v>
      </c>
      <c r="O51" s="21" t="s">
        <v>136</v>
      </c>
      <c r="P51" s="27">
        <v>0.38403702639999998</v>
      </c>
      <c r="Q51" s="27">
        <v>0.37756263670000001</v>
      </c>
      <c r="R51" s="27">
        <v>0.41940963120000002</v>
      </c>
      <c r="S51" s="27">
        <v>0.38765673969999997</v>
      </c>
      <c r="T51" s="27">
        <v>0.38874935269999999</v>
      </c>
      <c r="U51" s="27">
        <v>0.39276449889999998</v>
      </c>
      <c r="V51" s="21" t="s">
        <v>49</v>
      </c>
      <c r="W51" s="21" t="s">
        <v>50</v>
      </c>
      <c r="X51" s="21" t="s">
        <v>51</v>
      </c>
      <c r="Y51" s="27">
        <v>1298.3900146484</v>
      </c>
      <c r="Z51" s="27">
        <v>1331.0100097656</v>
      </c>
      <c r="AA51" s="27">
        <v>1374.1733398438</v>
      </c>
      <c r="AB51" s="27">
        <v>1485.6411132813</v>
      </c>
      <c r="AC51" s="27">
        <v>1611.2340087891</v>
      </c>
      <c r="AD51" s="27">
        <v>1745.4080810547</v>
      </c>
      <c r="AE51" s="21" t="s">
        <v>52</v>
      </c>
      <c r="AF51" s="21" t="s">
        <v>53</v>
      </c>
      <c r="AG51" s="27">
        <v>1099.9444505191</v>
      </c>
      <c r="AH51" s="27">
        <v>1188.9753538632999</v>
      </c>
      <c r="AI51" s="27">
        <v>1205.8030361535</v>
      </c>
      <c r="AJ51" s="27">
        <v>1255.9261802295</v>
      </c>
      <c r="AK51" s="27">
        <v>1532.1474477954</v>
      </c>
      <c r="AL51" s="27">
        <v>1617.4176681914</v>
      </c>
      <c r="AM51" s="28">
        <v>46</v>
      </c>
      <c r="AN51" s="28">
        <v>49</v>
      </c>
      <c r="AO51" s="28">
        <v>45</v>
      </c>
      <c r="AP51" s="28">
        <v>47</v>
      </c>
      <c r="AQ51" s="28">
        <v>47</v>
      </c>
      <c r="AR51" s="28">
        <v>48</v>
      </c>
    </row>
    <row r="52" spans="1:44" x14ac:dyDescent="0.2">
      <c r="A52" s="21" t="s">
        <v>39</v>
      </c>
      <c r="B52" s="21" t="s">
        <v>40</v>
      </c>
      <c r="C52" s="21" t="s">
        <v>41</v>
      </c>
      <c r="D52" s="21">
        <v>2024</v>
      </c>
      <c r="E52" s="21" t="s">
        <v>42</v>
      </c>
      <c r="F52" s="21" t="s">
        <v>43</v>
      </c>
      <c r="G52" s="21" t="s">
        <v>44</v>
      </c>
      <c r="H52" s="21">
        <v>714778</v>
      </c>
      <c r="I52" s="21" t="s">
        <v>45</v>
      </c>
      <c r="J52" s="21">
        <v>2</v>
      </c>
      <c r="K52" s="21" t="s">
        <v>46</v>
      </c>
      <c r="L52" s="21" t="s">
        <v>137</v>
      </c>
      <c r="M52" s="21" t="s">
        <v>137</v>
      </c>
      <c r="N52" s="21" t="s">
        <v>138</v>
      </c>
      <c r="O52" s="21" t="s">
        <v>138</v>
      </c>
      <c r="P52" s="27">
        <v>0.2930168178</v>
      </c>
      <c r="Q52" s="27">
        <v>0.31960960510000003</v>
      </c>
      <c r="R52" s="27">
        <v>0.3726879273</v>
      </c>
      <c r="S52" s="27">
        <v>0.3086874872</v>
      </c>
      <c r="T52" s="27">
        <v>0.3792595151</v>
      </c>
      <c r="U52" s="27">
        <v>0.38262129360000002</v>
      </c>
      <c r="V52" s="21" t="s">
        <v>49</v>
      </c>
      <c r="W52" s="21" t="s">
        <v>50</v>
      </c>
      <c r="X52" s="21" t="s">
        <v>51</v>
      </c>
      <c r="Y52" s="27">
        <v>990.65997314449999</v>
      </c>
      <c r="Z52" s="27">
        <v>1126.7099609375</v>
      </c>
      <c r="AA52" s="27">
        <v>1221.0921630859</v>
      </c>
      <c r="AB52" s="27">
        <v>1183.0023193359</v>
      </c>
      <c r="AC52" s="27">
        <v>1571.9018554688</v>
      </c>
      <c r="AD52" s="27">
        <v>1700.3326416016</v>
      </c>
      <c r="AE52" s="21" t="s">
        <v>52</v>
      </c>
      <c r="AF52" s="21" t="s">
        <v>53</v>
      </c>
      <c r="AG52" s="27">
        <v>839.2477818822</v>
      </c>
      <c r="AH52" s="27">
        <v>1006.4765589125</v>
      </c>
      <c r="AI52" s="27">
        <v>1071.4780988544001</v>
      </c>
      <c r="AJ52" s="27">
        <v>1000.0824363595</v>
      </c>
      <c r="AK52" s="27">
        <v>1494.7458922192</v>
      </c>
      <c r="AL52" s="27">
        <v>1575.6476013719</v>
      </c>
      <c r="AM52" s="28">
        <v>54</v>
      </c>
      <c r="AN52" s="28">
        <v>53</v>
      </c>
      <c r="AO52" s="28">
        <v>49</v>
      </c>
      <c r="AP52" s="28">
        <v>51</v>
      </c>
      <c r="AQ52" s="28">
        <v>48</v>
      </c>
      <c r="AR52" s="28">
        <v>49</v>
      </c>
    </row>
    <row r="53" spans="1:44" x14ac:dyDescent="0.2">
      <c r="A53" s="21" t="s">
        <v>39</v>
      </c>
      <c r="B53" s="21" t="s">
        <v>40</v>
      </c>
      <c r="C53" s="21" t="s">
        <v>41</v>
      </c>
      <c r="D53" s="21">
        <v>2024</v>
      </c>
      <c r="E53" s="21" t="s">
        <v>42</v>
      </c>
      <c r="F53" s="21" t="s">
        <v>43</v>
      </c>
      <c r="G53" s="21" t="s">
        <v>44</v>
      </c>
      <c r="H53" s="21">
        <v>714778</v>
      </c>
      <c r="I53" s="21" t="s">
        <v>45</v>
      </c>
      <c r="J53" s="21">
        <v>2</v>
      </c>
      <c r="K53" s="21" t="s">
        <v>46</v>
      </c>
      <c r="L53" s="21" t="s">
        <v>139</v>
      </c>
      <c r="M53" s="21" t="s">
        <v>139</v>
      </c>
      <c r="N53" s="21" t="s">
        <v>140</v>
      </c>
      <c r="O53" s="21" t="s">
        <v>140</v>
      </c>
      <c r="P53" s="27">
        <v>0.43198878219999998</v>
      </c>
      <c r="Q53" s="27">
        <v>0.41569871260000002</v>
      </c>
      <c r="R53" s="27">
        <v>0.3112762301</v>
      </c>
      <c r="S53" s="27">
        <v>0.3663171274</v>
      </c>
      <c r="T53" s="27">
        <v>0.34582835760000002</v>
      </c>
      <c r="U53" s="27">
        <v>0.33608761110000002</v>
      </c>
      <c r="V53" s="21" t="s">
        <v>49</v>
      </c>
      <c r="W53" s="21" t="s">
        <v>50</v>
      </c>
      <c r="X53" s="21" t="s">
        <v>51</v>
      </c>
      <c r="Y53" s="27">
        <v>1460.5100097656</v>
      </c>
      <c r="Z53" s="27">
        <v>1465.4499511719</v>
      </c>
      <c r="AA53" s="27">
        <v>1019.8800048828</v>
      </c>
      <c r="AB53" s="27">
        <v>1403.8599853516</v>
      </c>
      <c r="AC53" s="27">
        <v>1433.3410644531</v>
      </c>
      <c r="AD53" s="27">
        <v>1493.5413818359</v>
      </c>
      <c r="AE53" s="21" t="s">
        <v>52</v>
      </c>
      <c r="AF53" s="21" t="s">
        <v>53</v>
      </c>
      <c r="AG53" s="27">
        <v>1237.2860712459001</v>
      </c>
      <c r="AH53" s="27">
        <v>1309.0689487530001</v>
      </c>
      <c r="AI53" s="27">
        <v>894.91941863739999</v>
      </c>
      <c r="AJ53" s="27">
        <v>1186.7903312701001</v>
      </c>
      <c r="AK53" s="27">
        <v>1362.9862836452</v>
      </c>
      <c r="AL53" s="27">
        <v>1384.0203018292</v>
      </c>
      <c r="AM53" s="28">
        <v>44</v>
      </c>
      <c r="AN53" s="28">
        <v>45</v>
      </c>
      <c r="AO53" s="28">
        <v>51</v>
      </c>
      <c r="AP53" s="28">
        <v>48</v>
      </c>
      <c r="AQ53" s="28">
        <v>49</v>
      </c>
      <c r="AR53" s="28">
        <v>50</v>
      </c>
    </row>
    <row r="54" spans="1:44" x14ac:dyDescent="0.2">
      <c r="A54" s="21" t="s">
        <v>39</v>
      </c>
      <c r="B54" s="21" t="s">
        <v>40</v>
      </c>
      <c r="C54" s="21" t="s">
        <v>41</v>
      </c>
      <c r="D54" s="21">
        <v>2024</v>
      </c>
      <c r="E54" s="21" t="s">
        <v>42</v>
      </c>
      <c r="F54" s="21" t="s">
        <v>43</v>
      </c>
      <c r="G54" s="21" t="s">
        <v>44</v>
      </c>
      <c r="H54" s="21">
        <v>714778</v>
      </c>
      <c r="I54" s="21" t="s">
        <v>45</v>
      </c>
      <c r="J54" s="21">
        <v>2</v>
      </c>
      <c r="K54" s="21" t="s">
        <v>46</v>
      </c>
      <c r="L54" s="21" t="s">
        <v>141</v>
      </c>
      <c r="M54" s="21" t="s">
        <v>141</v>
      </c>
      <c r="N54" s="21" t="s">
        <v>142</v>
      </c>
      <c r="O54" s="21" t="s">
        <v>142</v>
      </c>
      <c r="P54" s="27">
        <v>0.27980731749999999</v>
      </c>
      <c r="Q54" s="27">
        <v>0.28093171700000003</v>
      </c>
      <c r="R54" s="27">
        <v>0.32696549120000001</v>
      </c>
      <c r="S54" s="27">
        <v>0.33183186199999998</v>
      </c>
      <c r="T54" s="27">
        <v>0.32738604189999998</v>
      </c>
      <c r="U54" s="27">
        <v>0.31816475659999999</v>
      </c>
      <c r="V54" s="21" t="s">
        <v>49</v>
      </c>
      <c r="W54" s="21" t="s">
        <v>50</v>
      </c>
      <c r="X54" s="21" t="s">
        <v>51</v>
      </c>
      <c r="Y54" s="27">
        <v>946</v>
      </c>
      <c r="Z54" s="27">
        <v>990.35998535160002</v>
      </c>
      <c r="AA54" s="27">
        <v>1071.2850341797</v>
      </c>
      <c r="AB54" s="27">
        <v>1271.6999511719</v>
      </c>
      <c r="AC54" s="27">
        <v>1356.9039306641</v>
      </c>
      <c r="AD54" s="27">
        <v>1413.8939208984</v>
      </c>
      <c r="AE54" s="21" t="s">
        <v>52</v>
      </c>
      <c r="AF54" s="21" t="s">
        <v>53</v>
      </c>
      <c r="AG54" s="27">
        <v>801.413626454</v>
      </c>
      <c r="AH54" s="27">
        <v>884.67675328960001</v>
      </c>
      <c r="AI54" s="27">
        <v>940.02605737240003</v>
      </c>
      <c r="AJ54" s="27">
        <v>1075.0653356286</v>
      </c>
      <c r="AK54" s="27">
        <v>1290.3010257542001</v>
      </c>
      <c r="AL54" s="27">
        <v>1310.2133726960001</v>
      </c>
      <c r="AM54" s="28">
        <v>56</v>
      </c>
      <c r="AN54" s="28">
        <v>56</v>
      </c>
      <c r="AO54" s="28">
        <v>50</v>
      </c>
      <c r="AP54" s="28">
        <v>49</v>
      </c>
      <c r="AQ54" s="28">
        <v>51</v>
      </c>
      <c r="AR54" s="28">
        <v>51</v>
      </c>
    </row>
    <row r="55" spans="1:44" x14ac:dyDescent="0.2">
      <c r="A55" s="21" t="s">
        <v>39</v>
      </c>
      <c r="B55" s="21" t="s">
        <v>40</v>
      </c>
      <c r="C55" s="21" t="s">
        <v>41</v>
      </c>
      <c r="D55" s="21">
        <v>2024</v>
      </c>
      <c r="E55" s="21" t="s">
        <v>42</v>
      </c>
      <c r="F55" s="21" t="s">
        <v>43</v>
      </c>
      <c r="G55" s="21" t="s">
        <v>44</v>
      </c>
      <c r="H55" s="21">
        <v>714778</v>
      </c>
      <c r="I55" s="21" t="s">
        <v>45</v>
      </c>
      <c r="J55" s="21">
        <v>2</v>
      </c>
      <c r="K55" s="21" t="s">
        <v>46</v>
      </c>
      <c r="L55" s="21" t="s">
        <v>143</v>
      </c>
      <c r="M55" s="21" t="s">
        <v>143</v>
      </c>
      <c r="N55" s="21" t="s">
        <v>144</v>
      </c>
      <c r="O55" s="21" t="s">
        <v>144</v>
      </c>
      <c r="P55" s="27">
        <v>0.28554544510000002</v>
      </c>
      <c r="Q55" s="27">
        <v>0.28934895589999998</v>
      </c>
      <c r="R55" s="27">
        <v>0.2908501429</v>
      </c>
      <c r="S55" s="27">
        <v>0.26540652110000001</v>
      </c>
      <c r="T55" s="27">
        <v>0.29966615219999998</v>
      </c>
      <c r="U55" s="27">
        <v>0.31780117489999998</v>
      </c>
      <c r="V55" s="21" t="s">
        <v>49</v>
      </c>
      <c r="W55" s="21" t="s">
        <v>50</v>
      </c>
      <c r="X55" s="21" t="s">
        <v>51</v>
      </c>
      <c r="Y55" s="27">
        <v>965.40002441410002</v>
      </c>
      <c r="Z55" s="27">
        <v>1020.0330200195</v>
      </c>
      <c r="AA55" s="27">
        <v>952.95501708979998</v>
      </c>
      <c r="AB55" s="27">
        <v>1017.133972168</v>
      </c>
      <c r="AC55" s="27">
        <v>1242.0144042969</v>
      </c>
      <c r="AD55" s="27">
        <v>1412.2781982422</v>
      </c>
      <c r="AE55" s="21" t="s">
        <v>52</v>
      </c>
      <c r="AF55" s="21" t="s">
        <v>53</v>
      </c>
      <c r="AG55" s="27">
        <v>817.8485566009</v>
      </c>
      <c r="AH55" s="27">
        <v>911.18332096059999</v>
      </c>
      <c r="AI55" s="27">
        <v>836.19440110460005</v>
      </c>
      <c r="AJ55" s="27">
        <v>859.86122289330001</v>
      </c>
      <c r="AK55" s="27">
        <v>1181.0507904428</v>
      </c>
      <c r="AL55" s="27">
        <v>1308.7161306472999</v>
      </c>
      <c r="AM55" s="28">
        <v>55</v>
      </c>
      <c r="AN55" s="28">
        <v>55</v>
      </c>
      <c r="AO55" s="28">
        <v>53</v>
      </c>
      <c r="AP55" s="28">
        <v>55</v>
      </c>
      <c r="AQ55" s="28">
        <v>54</v>
      </c>
      <c r="AR55" s="28">
        <v>52</v>
      </c>
    </row>
    <row r="56" spans="1:44" x14ac:dyDescent="0.2">
      <c r="A56" s="21" t="s">
        <v>39</v>
      </c>
      <c r="B56" s="21" t="s">
        <v>40</v>
      </c>
      <c r="C56" s="21" t="s">
        <v>41</v>
      </c>
      <c r="D56" s="21">
        <v>2024</v>
      </c>
      <c r="E56" s="21" t="s">
        <v>42</v>
      </c>
      <c r="F56" s="21" t="s">
        <v>43</v>
      </c>
      <c r="G56" s="21" t="s">
        <v>44</v>
      </c>
      <c r="H56" s="21">
        <v>714778</v>
      </c>
      <c r="I56" s="21" t="s">
        <v>45</v>
      </c>
      <c r="J56" s="21">
        <v>2</v>
      </c>
      <c r="K56" s="21" t="s">
        <v>46</v>
      </c>
      <c r="L56" s="21" t="s">
        <v>145</v>
      </c>
      <c r="M56" s="21" t="s">
        <v>145</v>
      </c>
      <c r="N56" s="21" t="s">
        <v>146</v>
      </c>
      <c r="O56" s="21" t="s">
        <v>146</v>
      </c>
      <c r="P56" s="27">
        <v>0.14431077010000001</v>
      </c>
      <c r="Q56" s="27">
        <v>0.16072529820000001</v>
      </c>
      <c r="R56" s="27">
        <v>0.20973940860000001</v>
      </c>
      <c r="S56" s="27">
        <v>0.23844299999999999</v>
      </c>
      <c r="T56" s="27">
        <v>0.28064592090000001</v>
      </c>
      <c r="U56" s="27">
        <v>0.31104227940000001</v>
      </c>
      <c r="V56" s="21" t="s">
        <v>49</v>
      </c>
      <c r="W56" s="21" t="s">
        <v>50</v>
      </c>
      <c r="X56" s="21" t="s">
        <v>51</v>
      </c>
      <c r="Y56" s="27">
        <v>487.89999389650001</v>
      </c>
      <c r="Z56" s="27">
        <v>566.59997558589998</v>
      </c>
      <c r="AA56" s="27">
        <v>687.20001220699999</v>
      </c>
      <c r="AB56" s="27">
        <v>913.79998779300001</v>
      </c>
      <c r="AC56" s="27">
        <v>1163.1820068359</v>
      </c>
      <c r="AD56" s="27">
        <v>1382.2423095703</v>
      </c>
      <c r="AE56" s="21" t="s">
        <v>52</v>
      </c>
      <c r="AF56" s="21" t="s">
        <v>53</v>
      </c>
      <c r="AG56" s="27">
        <v>413.32949625309999</v>
      </c>
      <c r="AH56" s="27">
        <v>506.13699485990003</v>
      </c>
      <c r="AI56" s="27">
        <v>603.00097312189996</v>
      </c>
      <c r="AJ56" s="27">
        <v>772.50509419989999</v>
      </c>
      <c r="AK56" s="27">
        <v>1106.0878391182</v>
      </c>
      <c r="AL56" s="27">
        <v>1280.8827674670999</v>
      </c>
      <c r="AM56" s="28">
        <v>86</v>
      </c>
      <c r="AN56" s="28">
        <v>80</v>
      </c>
      <c r="AO56" s="28">
        <v>64</v>
      </c>
      <c r="AP56" s="28">
        <v>58</v>
      </c>
      <c r="AQ56" s="28">
        <v>55</v>
      </c>
      <c r="AR56" s="28">
        <v>53</v>
      </c>
    </row>
    <row r="57" spans="1:44" x14ac:dyDescent="0.2">
      <c r="A57" s="21" t="s">
        <v>39</v>
      </c>
      <c r="B57" s="21" t="s">
        <v>40</v>
      </c>
      <c r="C57" s="21" t="s">
        <v>41</v>
      </c>
      <c r="D57" s="21">
        <v>2024</v>
      </c>
      <c r="E57" s="21" t="s">
        <v>42</v>
      </c>
      <c r="F57" s="21" t="s">
        <v>43</v>
      </c>
      <c r="G57" s="21" t="s">
        <v>44</v>
      </c>
      <c r="H57" s="21">
        <v>714778</v>
      </c>
      <c r="I57" s="21" t="s">
        <v>45</v>
      </c>
      <c r="J57" s="21">
        <v>2</v>
      </c>
      <c r="K57" s="21" t="s">
        <v>46</v>
      </c>
      <c r="L57" s="21" t="s">
        <v>147</v>
      </c>
      <c r="M57" s="21" t="s">
        <v>147</v>
      </c>
      <c r="N57" s="21" t="s">
        <v>148</v>
      </c>
      <c r="O57" s="21" t="s">
        <v>148</v>
      </c>
      <c r="P57" s="27">
        <v>0.3303702147</v>
      </c>
      <c r="Q57" s="27">
        <v>0.32946416839999998</v>
      </c>
      <c r="R57" s="27">
        <v>0.23760801249999999</v>
      </c>
      <c r="S57" s="27">
        <v>0.2836266113</v>
      </c>
      <c r="T57" s="27">
        <v>0.30421637569999999</v>
      </c>
      <c r="U57" s="27">
        <v>0.30552680269999999</v>
      </c>
      <c r="V57" s="21" t="s">
        <v>49</v>
      </c>
      <c r="W57" s="21" t="s">
        <v>50</v>
      </c>
      <c r="X57" s="21" t="s">
        <v>51</v>
      </c>
      <c r="Y57" s="27">
        <v>1116.9479980469</v>
      </c>
      <c r="Z57" s="27">
        <v>1161.4499511719</v>
      </c>
      <c r="AA57" s="27">
        <v>778.51000976559999</v>
      </c>
      <c r="AB57" s="27">
        <v>1086.9599609375</v>
      </c>
      <c r="AC57" s="27">
        <v>1260.8735351563</v>
      </c>
      <c r="AD57" s="27">
        <v>1357.7320556641</v>
      </c>
      <c r="AE57" s="21" t="s">
        <v>52</v>
      </c>
      <c r="AF57" s="21" t="s">
        <v>53</v>
      </c>
      <c r="AG57" s="27">
        <v>946.2339806292</v>
      </c>
      <c r="AH57" s="27">
        <v>1037.5093775082</v>
      </c>
      <c r="AI57" s="27">
        <v>683.12323215209994</v>
      </c>
      <c r="AJ57" s="27">
        <v>918.89047738290003</v>
      </c>
      <c r="AK57" s="27">
        <v>1198.9842309339001</v>
      </c>
      <c r="AL57" s="27">
        <v>1258.1698454002001</v>
      </c>
      <c r="AM57" s="28">
        <v>52</v>
      </c>
      <c r="AN57" s="28">
        <v>51</v>
      </c>
      <c r="AO57" s="28">
        <v>58</v>
      </c>
      <c r="AP57" s="28">
        <v>53</v>
      </c>
      <c r="AQ57" s="28">
        <v>52</v>
      </c>
      <c r="AR57" s="28">
        <v>54</v>
      </c>
    </row>
    <row r="58" spans="1:44" x14ac:dyDescent="0.2">
      <c r="A58" s="21" t="s">
        <v>39</v>
      </c>
      <c r="B58" s="21" t="s">
        <v>40</v>
      </c>
      <c r="C58" s="21" t="s">
        <v>41</v>
      </c>
      <c r="D58" s="21">
        <v>2024</v>
      </c>
      <c r="E58" s="21" t="s">
        <v>42</v>
      </c>
      <c r="F58" s="21" t="s">
        <v>43</v>
      </c>
      <c r="G58" s="21" t="s">
        <v>44</v>
      </c>
      <c r="H58" s="21">
        <v>714778</v>
      </c>
      <c r="I58" s="21" t="s">
        <v>45</v>
      </c>
      <c r="J58" s="21">
        <v>2</v>
      </c>
      <c r="K58" s="21" t="s">
        <v>46</v>
      </c>
      <c r="L58" s="21" t="s">
        <v>149</v>
      </c>
      <c r="M58" s="21" t="s">
        <v>149</v>
      </c>
      <c r="N58" s="21" t="s">
        <v>150</v>
      </c>
      <c r="O58" s="21" t="s">
        <v>150</v>
      </c>
      <c r="P58" s="27">
        <v>0.51258570950000004</v>
      </c>
      <c r="Q58" s="27">
        <v>0.46159592799999999</v>
      </c>
      <c r="R58" s="27">
        <v>0.30514154310000002</v>
      </c>
      <c r="S58" s="27">
        <v>0.29453373449999998</v>
      </c>
      <c r="T58" s="27">
        <v>0.30020071380000002</v>
      </c>
      <c r="U58" s="27">
        <v>0.28894633829999999</v>
      </c>
      <c r="V58" s="21" t="s">
        <v>49</v>
      </c>
      <c r="W58" s="21" t="s">
        <v>50</v>
      </c>
      <c r="X58" s="21" t="s">
        <v>51</v>
      </c>
      <c r="Y58" s="27">
        <v>1733</v>
      </c>
      <c r="Z58" s="27">
        <v>1627.25</v>
      </c>
      <c r="AA58" s="27">
        <v>999.78002929690001</v>
      </c>
      <c r="AB58" s="27">
        <v>1128.7600097656</v>
      </c>
      <c r="AC58" s="27">
        <v>1244.2299804688</v>
      </c>
      <c r="AD58" s="27">
        <v>1284.0500488281</v>
      </c>
      <c r="AE58" s="21" t="s">
        <v>52</v>
      </c>
      <c r="AF58" s="21" t="s">
        <v>53</v>
      </c>
      <c r="AG58" s="27">
        <v>1468.1287681234001</v>
      </c>
      <c r="AH58" s="27">
        <v>1453.6030010132999</v>
      </c>
      <c r="AI58" s="27">
        <v>877.28218839470003</v>
      </c>
      <c r="AJ58" s="27">
        <v>954.22725905159996</v>
      </c>
      <c r="AK58" s="27">
        <v>1183.1576162413</v>
      </c>
      <c r="AL58" s="27">
        <v>1189.8909248555999</v>
      </c>
      <c r="AM58" s="28">
        <v>40</v>
      </c>
      <c r="AN58" s="28">
        <v>43</v>
      </c>
      <c r="AO58" s="28">
        <v>52</v>
      </c>
      <c r="AP58" s="28">
        <v>52</v>
      </c>
      <c r="AQ58" s="28">
        <v>53</v>
      </c>
      <c r="AR58" s="28">
        <v>55</v>
      </c>
    </row>
    <row r="59" spans="1:44" x14ac:dyDescent="0.2">
      <c r="A59" s="21" t="s">
        <v>39</v>
      </c>
      <c r="B59" s="21" t="s">
        <v>40</v>
      </c>
      <c r="C59" s="21" t="s">
        <v>41</v>
      </c>
      <c r="D59" s="21">
        <v>2024</v>
      </c>
      <c r="E59" s="21" t="s">
        <v>42</v>
      </c>
      <c r="F59" s="21" t="s">
        <v>43</v>
      </c>
      <c r="G59" s="21" t="s">
        <v>44</v>
      </c>
      <c r="H59" s="21">
        <v>714778</v>
      </c>
      <c r="I59" s="21" t="s">
        <v>45</v>
      </c>
      <c r="J59" s="21">
        <v>2</v>
      </c>
      <c r="K59" s="21" t="s">
        <v>46</v>
      </c>
      <c r="L59" s="21" t="s">
        <v>151</v>
      </c>
      <c r="M59" s="21" t="s">
        <v>151</v>
      </c>
      <c r="N59" s="21" t="s">
        <v>152</v>
      </c>
      <c r="O59" s="21" t="s">
        <v>152</v>
      </c>
      <c r="P59" s="27">
        <v>0.24248852800000001</v>
      </c>
      <c r="Q59" s="27">
        <v>0.27114097170000001</v>
      </c>
      <c r="R59" s="27">
        <v>0.26122321739999999</v>
      </c>
      <c r="S59" s="27">
        <v>0.26120390259999998</v>
      </c>
      <c r="T59" s="27">
        <v>0.26904834970000002</v>
      </c>
      <c r="U59" s="27">
        <v>0.27226025510000001</v>
      </c>
      <c r="V59" s="21" t="s">
        <v>49</v>
      </c>
      <c r="W59" s="21" t="s">
        <v>50</v>
      </c>
      <c r="X59" s="21" t="s">
        <v>51</v>
      </c>
      <c r="Y59" s="27">
        <v>819.82897949220001</v>
      </c>
      <c r="Z59" s="27">
        <v>955.84497070309999</v>
      </c>
      <c r="AA59" s="27">
        <v>855.88397216800001</v>
      </c>
      <c r="AB59" s="27">
        <v>1001.0280151367</v>
      </c>
      <c r="AC59" s="27">
        <v>1115.1140136719</v>
      </c>
      <c r="AD59" s="27">
        <v>1209.8986816406</v>
      </c>
      <c r="AE59" s="21" t="s">
        <v>52</v>
      </c>
      <c r="AF59" s="21" t="s">
        <v>53</v>
      </c>
      <c r="AG59" s="27">
        <v>694.52654918279995</v>
      </c>
      <c r="AH59" s="27">
        <v>853.8449026994</v>
      </c>
      <c r="AI59" s="27">
        <v>751.01696584549995</v>
      </c>
      <c r="AJ59" s="27">
        <v>846.24562427230001</v>
      </c>
      <c r="AK59" s="27">
        <v>1060.3792377324</v>
      </c>
      <c r="AL59" s="27">
        <v>1121.1770620568</v>
      </c>
      <c r="AM59" s="28">
        <v>61</v>
      </c>
      <c r="AN59" s="28">
        <v>57</v>
      </c>
      <c r="AO59" s="28">
        <v>55</v>
      </c>
      <c r="AP59" s="28">
        <v>56</v>
      </c>
      <c r="AQ59" s="28">
        <v>57</v>
      </c>
      <c r="AR59" s="28">
        <v>56</v>
      </c>
    </row>
    <row r="60" spans="1:44" x14ac:dyDescent="0.2">
      <c r="A60" s="21" t="s">
        <v>39</v>
      </c>
      <c r="B60" s="21" t="s">
        <v>40</v>
      </c>
      <c r="C60" s="21" t="s">
        <v>41</v>
      </c>
      <c r="D60" s="21">
        <v>2024</v>
      </c>
      <c r="E60" s="21" t="s">
        <v>42</v>
      </c>
      <c r="F60" s="21" t="s">
        <v>43</v>
      </c>
      <c r="G60" s="21" t="s">
        <v>44</v>
      </c>
      <c r="H60" s="21">
        <v>714778</v>
      </c>
      <c r="I60" s="21" t="s">
        <v>45</v>
      </c>
      <c r="J60" s="21">
        <v>2</v>
      </c>
      <c r="K60" s="21" t="s">
        <v>46</v>
      </c>
      <c r="L60" s="21" t="s">
        <v>153</v>
      </c>
      <c r="M60" s="21" t="s">
        <v>153</v>
      </c>
      <c r="N60" s="21" t="s">
        <v>154</v>
      </c>
      <c r="O60" s="21" t="s">
        <v>154</v>
      </c>
      <c r="P60" s="27">
        <v>0.35934890580000001</v>
      </c>
      <c r="Q60" s="27">
        <v>0.29732881820000001</v>
      </c>
      <c r="R60" s="27">
        <v>0.23002662069999999</v>
      </c>
      <c r="S60" s="27">
        <v>0.23697454330000001</v>
      </c>
      <c r="T60" s="27">
        <v>0.27312668639999998</v>
      </c>
      <c r="U60" s="27">
        <v>0.2702736583</v>
      </c>
      <c r="V60" s="21" t="s">
        <v>49</v>
      </c>
      <c r="W60" s="21" t="s">
        <v>50</v>
      </c>
      <c r="X60" s="21" t="s">
        <v>51</v>
      </c>
      <c r="Y60" s="27">
        <v>1214.9219970703</v>
      </c>
      <c r="Z60" s="27">
        <v>1048.1641845703</v>
      </c>
      <c r="AA60" s="27">
        <v>753.66998291020002</v>
      </c>
      <c r="AB60" s="27">
        <v>908.17232939999997</v>
      </c>
      <c r="AC60" s="27">
        <v>1132.0173339844</v>
      </c>
      <c r="AD60" s="27">
        <v>1201.0704345703</v>
      </c>
      <c r="AE60" s="21" t="s">
        <v>52</v>
      </c>
      <c r="AF60" s="21" t="s">
        <v>53</v>
      </c>
      <c r="AG60" s="27">
        <v>1029.2336612377001</v>
      </c>
      <c r="AH60" s="27">
        <v>936.31255446069997</v>
      </c>
      <c r="AI60" s="27">
        <v>661.32672443939998</v>
      </c>
      <c r="AJ60" s="27">
        <v>767.74760368219995</v>
      </c>
      <c r="AK60" s="27">
        <v>1076.4528675930001</v>
      </c>
      <c r="AL60" s="27">
        <v>1112.9961885145001</v>
      </c>
      <c r="AM60" s="28">
        <v>50</v>
      </c>
      <c r="AN60" s="28">
        <v>54</v>
      </c>
      <c r="AO60" s="28">
        <v>60</v>
      </c>
      <c r="AP60" s="28">
        <v>59</v>
      </c>
      <c r="AQ60" s="28">
        <v>56</v>
      </c>
      <c r="AR60" s="28">
        <v>57</v>
      </c>
    </row>
    <row r="61" spans="1:44" x14ac:dyDescent="0.2">
      <c r="A61" s="21" t="s">
        <v>39</v>
      </c>
      <c r="B61" s="21" t="s">
        <v>40</v>
      </c>
      <c r="C61" s="21" t="s">
        <v>41</v>
      </c>
      <c r="D61" s="21">
        <v>2024</v>
      </c>
      <c r="E61" s="21" t="s">
        <v>42</v>
      </c>
      <c r="F61" s="21" t="s">
        <v>43</v>
      </c>
      <c r="G61" s="21" t="s">
        <v>44</v>
      </c>
      <c r="H61" s="21">
        <v>714778</v>
      </c>
      <c r="I61" s="21" t="s">
        <v>45</v>
      </c>
      <c r="J61" s="21">
        <v>2</v>
      </c>
      <c r="K61" s="21" t="s">
        <v>46</v>
      </c>
      <c r="L61" s="21" t="s">
        <v>155</v>
      </c>
      <c r="M61" s="21" t="s">
        <v>155</v>
      </c>
      <c r="N61" s="21" t="s">
        <v>263</v>
      </c>
      <c r="O61" s="21" t="s">
        <v>67</v>
      </c>
      <c r="P61" s="27">
        <v>0.23584163620000001</v>
      </c>
      <c r="Q61" s="27">
        <v>0.2363613853</v>
      </c>
      <c r="R61" s="27">
        <v>0.25634582610000001</v>
      </c>
      <c r="S61" s="27">
        <v>0.27241682569999998</v>
      </c>
      <c r="T61" s="27">
        <v>0.26588427520000002</v>
      </c>
      <c r="U61" s="27">
        <v>0.26170677050000002</v>
      </c>
      <c r="V61" s="21" t="s">
        <v>49</v>
      </c>
      <c r="W61" s="21" t="s">
        <v>50</v>
      </c>
      <c r="X61" s="21" t="s">
        <v>51</v>
      </c>
      <c r="Y61" s="27">
        <v>797.35651600000006</v>
      </c>
      <c r="Z61" s="27">
        <v>833.23755900000003</v>
      </c>
      <c r="AA61" s="27">
        <v>839.903459</v>
      </c>
      <c r="AB61" s="27">
        <v>1044</v>
      </c>
      <c r="AC61" s="27">
        <v>1102</v>
      </c>
      <c r="AD61" s="27">
        <v>1163</v>
      </c>
      <c r="AE61" s="21" t="s">
        <v>52</v>
      </c>
      <c r="AF61" s="21" t="s">
        <v>53</v>
      </c>
      <c r="AG61" s="27">
        <v>675.48877068110005</v>
      </c>
      <c r="AH61" s="27">
        <v>744.32116535219996</v>
      </c>
      <c r="AI61" s="27">
        <v>736.99446174169998</v>
      </c>
      <c r="AJ61" s="27">
        <v>882.57313320009996</v>
      </c>
      <c r="AK61" s="27">
        <v>1047.9089184193001</v>
      </c>
      <c r="AL61" s="27">
        <v>1077.7174510215</v>
      </c>
      <c r="AM61" s="28">
        <v>64</v>
      </c>
      <c r="AN61" s="28">
        <v>61</v>
      </c>
      <c r="AO61" s="28">
        <v>56</v>
      </c>
      <c r="AP61" s="28">
        <v>54</v>
      </c>
      <c r="AQ61" s="28">
        <v>58</v>
      </c>
      <c r="AR61" s="28">
        <v>58</v>
      </c>
    </row>
    <row r="62" spans="1:44" x14ac:dyDescent="0.2">
      <c r="A62" s="21" t="s">
        <v>39</v>
      </c>
      <c r="B62" s="21" t="s">
        <v>40</v>
      </c>
      <c r="C62" s="21" t="s">
        <v>41</v>
      </c>
      <c r="D62" s="21">
        <v>2024</v>
      </c>
      <c r="E62" s="21" t="s">
        <v>42</v>
      </c>
      <c r="F62" s="21" t="s">
        <v>43</v>
      </c>
      <c r="G62" s="21" t="s">
        <v>44</v>
      </c>
      <c r="H62" s="21">
        <v>714778</v>
      </c>
      <c r="I62" s="21" t="s">
        <v>45</v>
      </c>
      <c r="J62" s="21">
        <v>2</v>
      </c>
      <c r="K62" s="21" t="s">
        <v>46</v>
      </c>
      <c r="L62" s="21" t="s">
        <v>156</v>
      </c>
      <c r="M62" s="21" t="s">
        <v>156</v>
      </c>
      <c r="N62" s="21" t="s">
        <v>293</v>
      </c>
      <c r="O62" s="21" t="s">
        <v>157</v>
      </c>
      <c r="P62" s="27">
        <v>0.17096434160000001</v>
      </c>
      <c r="Q62" s="27">
        <v>0.21104884309999999</v>
      </c>
      <c r="R62" s="27">
        <v>0.18371608410000001</v>
      </c>
      <c r="S62" s="27">
        <v>0.19940324170000001</v>
      </c>
      <c r="T62" s="27">
        <v>0.2242040374</v>
      </c>
      <c r="U62" s="27">
        <v>0.2498823157</v>
      </c>
      <c r="V62" s="21" t="s">
        <v>49</v>
      </c>
      <c r="W62" s="21" t="s">
        <v>50</v>
      </c>
      <c r="X62" s="21" t="s">
        <v>51</v>
      </c>
      <c r="Y62" s="27">
        <v>578.01300048830001</v>
      </c>
      <c r="Z62" s="27">
        <v>744.00402832029999</v>
      </c>
      <c r="AA62" s="27">
        <v>601.9359741211</v>
      </c>
      <c r="AB62" s="27">
        <v>764.18548583979998</v>
      </c>
      <c r="AC62" s="27">
        <v>929.2495727539</v>
      </c>
      <c r="AD62" s="27">
        <v>1110.4532470703</v>
      </c>
      <c r="AE62" s="21" t="s">
        <v>52</v>
      </c>
      <c r="AF62" s="21" t="s">
        <v>53</v>
      </c>
      <c r="AG62" s="27">
        <v>489.669656299</v>
      </c>
      <c r="AH62" s="27">
        <v>664.60991754949998</v>
      </c>
      <c r="AI62" s="27">
        <v>528.18389363289998</v>
      </c>
      <c r="AJ62" s="27">
        <v>646.02450055910003</v>
      </c>
      <c r="AK62" s="27">
        <v>883.63785365349997</v>
      </c>
      <c r="AL62" s="27">
        <v>1029.0239405943</v>
      </c>
      <c r="AM62" s="28">
        <v>80</v>
      </c>
      <c r="AN62" s="28">
        <v>67</v>
      </c>
      <c r="AO62" s="28">
        <v>70</v>
      </c>
      <c r="AP62" s="28">
        <v>67</v>
      </c>
      <c r="AQ62" s="28">
        <v>63</v>
      </c>
      <c r="AR62" s="28">
        <v>59</v>
      </c>
    </row>
    <row r="63" spans="1:44" x14ac:dyDescent="0.2">
      <c r="A63" s="21" t="s">
        <v>39</v>
      </c>
      <c r="B63" s="21" t="s">
        <v>40</v>
      </c>
      <c r="C63" s="21" t="s">
        <v>41</v>
      </c>
      <c r="D63" s="21">
        <v>2024</v>
      </c>
      <c r="E63" s="21" t="s">
        <v>42</v>
      </c>
      <c r="F63" s="21" t="s">
        <v>43</v>
      </c>
      <c r="G63" s="21" t="s">
        <v>44</v>
      </c>
      <c r="H63" s="21">
        <v>714778</v>
      </c>
      <c r="I63" s="21" t="s">
        <v>45</v>
      </c>
      <c r="J63" s="21">
        <v>2</v>
      </c>
      <c r="K63" s="21" t="s">
        <v>46</v>
      </c>
      <c r="L63" s="21" t="s">
        <v>158</v>
      </c>
      <c r="M63" s="21" t="s">
        <v>158</v>
      </c>
      <c r="N63" s="21" t="s">
        <v>159</v>
      </c>
      <c r="O63" s="21" t="s">
        <v>159</v>
      </c>
      <c r="P63" s="27">
        <v>0.20516235499999999</v>
      </c>
      <c r="Q63" s="27">
        <v>0.20907678769999999</v>
      </c>
      <c r="R63" s="27">
        <v>0.20884483279999999</v>
      </c>
      <c r="S63" s="27">
        <v>0.22804975320000001</v>
      </c>
      <c r="T63" s="27">
        <v>0.23848982020000001</v>
      </c>
      <c r="U63" s="27">
        <v>0.24333877840000001</v>
      </c>
      <c r="V63" s="21" t="s">
        <v>49</v>
      </c>
      <c r="W63" s="21" t="s">
        <v>50</v>
      </c>
      <c r="X63" s="21" t="s">
        <v>51</v>
      </c>
      <c r="Y63" s="27">
        <v>693.63299560550001</v>
      </c>
      <c r="Z63" s="27">
        <v>737.05200195309999</v>
      </c>
      <c r="AA63" s="27">
        <v>684.2689819336</v>
      </c>
      <c r="AB63" s="27">
        <v>873.9692993164</v>
      </c>
      <c r="AC63" s="27">
        <v>988.45928955080001</v>
      </c>
      <c r="AD63" s="27">
        <v>1081.3743896484</v>
      </c>
      <c r="AE63" s="21" t="s">
        <v>52</v>
      </c>
      <c r="AF63" s="21" t="s">
        <v>53</v>
      </c>
      <c r="AG63" s="27">
        <v>587.61832392849999</v>
      </c>
      <c r="AH63" s="27">
        <v>658.39975537989994</v>
      </c>
      <c r="AI63" s="27">
        <v>600.4290667253</v>
      </c>
      <c r="AJ63" s="27">
        <v>738.83316361920004</v>
      </c>
      <c r="AK63" s="27">
        <v>939.94129311680001</v>
      </c>
      <c r="AL63" s="27">
        <v>1002.0774297608</v>
      </c>
      <c r="AM63" s="28">
        <v>71</v>
      </c>
      <c r="AN63" s="28">
        <v>69</v>
      </c>
      <c r="AO63" s="28">
        <v>65</v>
      </c>
      <c r="AP63" s="28">
        <v>62</v>
      </c>
      <c r="AQ63" s="28">
        <v>60</v>
      </c>
      <c r="AR63" s="28">
        <v>60</v>
      </c>
    </row>
    <row r="64" spans="1:44" x14ac:dyDescent="0.2">
      <c r="A64" s="21" t="s">
        <v>39</v>
      </c>
      <c r="B64" s="21" t="s">
        <v>40</v>
      </c>
      <c r="C64" s="21" t="s">
        <v>41</v>
      </c>
      <c r="D64" s="21">
        <v>2024</v>
      </c>
      <c r="E64" s="21" t="s">
        <v>42</v>
      </c>
      <c r="F64" s="21" t="s">
        <v>43</v>
      </c>
      <c r="G64" s="21" t="s">
        <v>44</v>
      </c>
      <c r="H64" s="21">
        <v>714778</v>
      </c>
      <c r="I64" s="21" t="s">
        <v>45</v>
      </c>
      <c r="J64" s="21">
        <v>2</v>
      </c>
      <c r="K64" s="21" t="s">
        <v>46</v>
      </c>
      <c r="L64" s="21" t="s">
        <v>160</v>
      </c>
      <c r="M64" s="21" t="s">
        <v>160</v>
      </c>
      <c r="N64" s="21" t="s">
        <v>160</v>
      </c>
      <c r="O64" s="21" t="s">
        <v>160</v>
      </c>
      <c r="P64" s="27">
        <v>0.14022309650000001</v>
      </c>
      <c r="Q64" s="27">
        <v>0.16204151380000001</v>
      </c>
      <c r="R64" s="27">
        <v>0.19305365529999999</v>
      </c>
      <c r="S64" s="27">
        <v>0.21630000399999999</v>
      </c>
      <c r="T64" s="27">
        <v>0.23656220289999999</v>
      </c>
      <c r="U64" s="27">
        <v>0.24291698950000001</v>
      </c>
      <c r="V64" s="21" t="s">
        <v>49</v>
      </c>
      <c r="W64" s="21" t="s">
        <v>50</v>
      </c>
      <c r="X64" s="21" t="s">
        <v>51</v>
      </c>
      <c r="Y64" s="27">
        <v>474.07998657230002</v>
      </c>
      <c r="Z64" s="27">
        <v>571.23999023440001</v>
      </c>
      <c r="AA64" s="27">
        <v>632.53002929690001</v>
      </c>
      <c r="AB64" s="27">
        <v>828.9400024414</v>
      </c>
      <c r="AC64" s="27">
        <v>980.46997070309999</v>
      </c>
      <c r="AD64" s="27">
        <v>1079.5</v>
      </c>
      <c r="AE64" s="21" t="s">
        <v>52</v>
      </c>
      <c r="AF64" s="21" t="s">
        <v>53</v>
      </c>
      <c r="AG64" s="27">
        <v>401.62173495569999</v>
      </c>
      <c r="AH64" s="27">
        <v>510.2818645589</v>
      </c>
      <c r="AI64" s="27">
        <v>555.02941853840002</v>
      </c>
      <c r="AJ64" s="27">
        <v>700.76645133110003</v>
      </c>
      <c r="AK64" s="27">
        <v>932.3441257188</v>
      </c>
      <c r="AL64" s="27">
        <v>1000.3404887169</v>
      </c>
      <c r="AM64" s="28">
        <v>87</v>
      </c>
      <c r="AN64" s="28">
        <v>78</v>
      </c>
      <c r="AO64" s="28">
        <v>66</v>
      </c>
      <c r="AP64" s="28">
        <v>64</v>
      </c>
      <c r="AQ64" s="28">
        <v>61</v>
      </c>
      <c r="AR64" s="28">
        <v>61</v>
      </c>
    </row>
    <row r="65" spans="1:44" x14ac:dyDescent="0.2">
      <c r="A65" s="21" t="s">
        <v>39</v>
      </c>
      <c r="B65" s="21" t="s">
        <v>40</v>
      </c>
      <c r="C65" s="21" t="s">
        <v>41</v>
      </c>
      <c r="D65" s="21">
        <v>2024</v>
      </c>
      <c r="E65" s="21" t="s">
        <v>42</v>
      </c>
      <c r="F65" s="21" t="s">
        <v>43</v>
      </c>
      <c r="G65" s="21" t="s">
        <v>44</v>
      </c>
      <c r="H65" s="21">
        <v>714778</v>
      </c>
      <c r="I65" s="21" t="s">
        <v>45</v>
      </c>
      <c r="J65" s="21">
        <v>2</v>
      </c>
      <c r="K65" s="21" t="s">
        <v>46</v>
      </c>
      <c r="L65" s="21" t="s">
        <v>161</v>
      </c>
      <c r="M65" s="21" t="s">
        <v>161</v>
      </c>
      <c r="N65" s="21" t="s">
        <v>162</v>
      </c>
      <c r="O65" s="21" t="s">
        <v>162</v>
      </c>
      <c r="P65" s="27">
        <v>0.24832603719999999</v>
      </c>
      <c r="Q65" s="27">
        <v>0.26127932720000002</v>
      </c>
      <c r="R65" s="27">
        <v>0.18962402549999999</v>
      </c>
      <c r="S65" s="27">
        <v>0.1831927733</v>
      </c>
      <c r="T65" s="27">
        <v>0.22273944170000001</v>
      </c>
      <c r="U65" s="27">
        <v>0.2339158693</v>
      </c>
      <c r="V65" s="21" t="s">
        <v>49</v>
      </c>
      <c r="W65" s="21" t="s">
        <v>50</v>
      </c>
      <c r="X65" s="21" t="s">
        <v>51</v>
      </c>
      <c r="Y65" s="27">
        <v>839.5650024414</v>
      </c>
      <c r="Z65" s="27">
        <v>921.08001708979998</v>
      </c>
      <c r="AA65" s="27">
        <v>621.29302978520002</v>
      </c>
      <c r="AB65" s="27">
        <v>702.0610961914</v>
      </c>
      <c r="AC65" s="27">
        <v>923.17932128910002</v>
      </c>
      <c r="AD65" s="27">
        <v>1039.4998779297</v>
      </c>
      <c r="AE65" s="21" t="s">
        <v>52</v>
      </c>
      <c r="AF65" s="21" t="s">
        <v>53</v>
      </c>
      <c r="AG65" s="27">
        <v>711.24612394339999</v>
      </c>
      <c r="AH65" s="27">
        <v>822.78978461530005</v>
      </c>
      <c r="AI65" s="27">
        <v>545.16923006319996</v>
      </c>
      <c r="AJ65" s="27">
        <v>593.50599747470005</v>
      </c>
      <c r="AK65" s="27">
        <v>877.86555724059997</v>
      </c>
      <c r="AL65" s="27">
        <v>963.27356730830002</v>
      </c>
      <c r="AM65" s="28">
        <v>60</v>
      </c>
      <c r="AN65" s="28">
        <v>59</v>
      </c>
      <c r="AO65" s="28">
        <v>68</v>
      </c>
      <c r="AP65" s="28">
        <v>71</v>
      </c>
      <c r="AQ65" s="28">
        <v>65</v>
      </c>
      <c r="AR65" s="28">
        <v>62</v>
      </c>
    </row>
    <row r="66" spans="1:44" x14ac:dyDescent="0.2">
      <c r="A66" s="21" t="s">
        <v>39</v>
      </c>
      <c r="B66" s="21" t="s">
        <v>40</v>
      </c>
      <c r="C66" s="21" t="s">
        <v>41</v>
      </c>
      <c r="D66" s="21">
        <v>2024</v>
      </c>
      <c r="E66" s="21" t="s">
        <v>42</v>
      </c>
      <c r="F66" s="21" t="s">
        <v>43</v>
      </c>
      <c r="G66" s="21" t="s">
        <v>44</v>
      </c>
      <c r="H66" s="21">
        <v>714778</v>
      </c>
      <c r="I66" s="21" t="s">
        <v>45</v>
      </c>
      <c r="J66" s="21">
        <v>2</v>
      </c>
      <c r="K66" s="21" t="s">
        <v>46</v>
      </c>
      <c r="L66" s="21" t="s">
        <v>163</v>
      </c>
      <c r="M66" s="21" t="s">
        <v>163</v>
      </c>
      <c r="N66" s="21" t="s">
        <v>164</v>
      </c>
      <c r="O66" s="21" t="s">
        <v>164</v>
      </c>
      <c r="P66" s="27">
        <v>0.23987088749999999</v>
      </c>
      <c r="Q66" s="27">
        <v>0.2534481542</v>
      </c>
      <c r="R66" s="27">
        <v>0.27411981169999999</v>
      </c>
      <c r="S66" s="27">
        <v>0.25202992159999998</v>
      </c>
      <c r="T66" s="27">
        <v>0.2404971799</v>
      </c>
      <c r="U66" s="27">
        <v>0.23080732239999999</v>
      </c>
      <c r="V66" s="21" t="s">
        <v>49</v>
      </c>
      <c r="W66" s="21" t="s">
        <v>50</v>
      </c>
      <c r="X66" s="21" t="s">
        <v>51</v>
      </c>
      <c r="Y66" s="27">
        <v>810.97900390630002</v>
      </c>
      <c r="Z66" s="27">
        <v>893.47302246089998</v>
      </c>
      <c r="AA66" s="27">
        <v>898.13897705080001</v>
      </c>
      <c r="AB66" s="27">
        <v>965.86999511720001</v>
      </c>
      <c r="AC66" s="27">
        <v>996.77911376949999</v>
      </c>
      <c r="AD66" s="27">
        <v>1025.6857910156</v>
      </c>
      <c r="AE66" s="21" t="s">
        <v>52</v>
      </c>
      <c r="AF66" s="21" t="s">
        <v>53</v>
      </c>
      <c r="AG66" s="27">
        <v>687.02920137269996</v>
      </c>
      <c r="AH66" s="27">
        <v>798.12878584960004</v>
      </c>
      <c r="AI66" s="27">
        <v>788.09468501169999</v>
      </c>
      <c r="AJ66" s="27">
        <v>816.52385809830002</v>
      </c>
      <c r="AK66" s="27">
        <v>947.85274320619999</v>
      </c>
      <c r="AL66" s="27">
        <v>950.47246452479999</v>
      </c>
      <c r="AM66" s="28">
        <v>62</v>
      </c>
      <c r="AN66" s="28">
        <v>60</v>
      </c>
      <c r="AO66" s="28">
        <v>54</v>
      </c>
      <c r="AP66" s="28">
        <v>57</v>
      </c>
      <c r="AQ66" s="28">
        <v>59</v>
      </c>
      <c r="AR66" s="28">
        <v>63</v>
      </c>
    </row>
    <row r="67" spans="1:44" x14ac:dyDescent="0.2">
      <c r="A67" s="21" t="s">
        <v>39</v>
      </c>
      <c r="B67" s="21" t="s">
        <v>40</v>
      </c>
      <c r="C67" s="21" t="s">
        <v>41</v>
      </c>
      <c r="D67" s="21">
        <v>2024</v>
      </c>
      <c r="E67" s="21" t="s">
        <v>42</v>
      </c>
      <c r="F67" s="21" t="s">
        <v>43</v>
      </c>
      <c r="G67" s="21" t="s">
        <v>44</v>
      </c>
      <c r="H67" s="21">
        <v>714778</v>
      </c>
      <c r="I67" s="21" t="s">
        <v>45</v>
      </c>
      <c r="J67" s="21">
        <v>2</v>
      </c>
      <c r="K67" s="21" t="s">
        <v>46</v>
      </c>
      <c r="L67" s="21" t="s">
        <v>165</v>
      </c>
      <c r="M67" s="21" t="s">
        <v>165</v>
      </c>
      <c r="N67" s="21" t="s">
        <v>166</v>
      </c>
      <c r="O67" s="21" t="s">
        <v>166</v>
      </c>
      <c r="P67" s="27">
        <v>0.38197841329999999</v>
      </c>
      <c r="Q67" s="27">
        <v>0.37155456999999997</v>
      </c>
      <c r="R67" s="27">
        <v>0.22691654350000001</v>
      </c>
      <c r="S67" s="27">
        <v>0.22954248860000001</v>
      </c>
      <c r="T67" s="27">
        <v>0.2281650798</v>
      </c>
      <c r="U67" s="27">
        <v>0.22258969119999999</v>
      </c>
      <c r="V67" s="21" t="s">
        <v>49</v>
      </c>
      <c r="W67" s="21" t="s">
        <v>50</v>
      </c>
      <c r="X67" s="21" t="s">
        <v>51</v>
      </c>
      <c r="Y67" s="27">
        <v>1291.4300537109</v>
      </c>
      <c r="Z67" s="27">
        <v>1309.8299560547</v>
      </c>
      <c r="AA67" s="27">
        <v>743.47998046880002</v>
      </c>
      <c r="AB67" s="27">
        <v>879.6900024414</v>
      </c>
      <c r="AC67" s="27">
        <v>945.66674804690001</v>
      </c>
      <c r="AD67" s="27">
        <v>989.1674194336</v>
      </c>
      <c r="AE67" s="21" t="s">
        <v>52</v>
      </c>
      <c r="AF67" s="21" t="s">
        <v>53</v>
      </c>
      <c r="AG67" s="27">
        <v>1094.0482480508999</v>
      </c>
      <c r="AH67" s="27">
        <v>1170.0554647032</v>
      </c>
      <c r="AI67" s="27">
        <v>652.3852499354</v>
      </c>
      <c r="AJ67" s="27">
        <v>743.66931197270003</v>
      </c>
      <c r="AK67" s="27">
        <v>899.24920066330003</v>
      </c>
      <c r="AL67" s="27">
        <v>916.63197756279999</v>
      </c>
      <c r="AM67" s="28">
        <v>47</v>
      </c>
      <c r="AN67" s="28">
        <v>50</v>
      </c>
      <c r="AO67" s="28">
        <v>61</v>
      </c>
      <c r="AP67" s="28">
        <v>61</v>
      </c>
      <c r="AQ67" s="28">
        <v>62</v>
      </c>
      <c r="AR67" s="28">
        <v>64</v>
      </c>
    </row>
    <row r="68" spans="1:44" x14ac:dyDescent="0.2">
      <c r="A68" s="21" t="s">
        <v>39</v>
      </c>
      <c r="B68" s="21" t="s">
        <v>40</v>
      </c>
      <c r="C68" s="21" t="s">
        <v>41</v>
      </c>
      <c r="D68" s="21">
        <v>2024</v>
      </c>
      <c r="E68" s="21" t="s">
        <v>42</v>
      </c>
      <c r="F68" s="21" t="s">
        <v>43</v>
      </c>
      <c r="G68" s="21" t="s">
        <v>44</v>
      </c>
      <c r="H68" s="21">
        <v>714778</v>
      </c>
      <c r="I68" s="21" t="s">
        <v>45</v>
      </c>
      <c r="J68" s="21">
        <v>2</v>
      </c>
      <c r="K68" s="21" t="s">
        <v>46</v>
      </c>
      <c r="L68" s="21" t="s">
        <v>167</v>
      </c>
      <c r="M68" s="21" t="s">
        <v>167</v>
      </c>
      <c r="N68" s="21" t="s">
        <v>93</v>
      </c>
      <c r="O68" s="21" t="s">
        <v>93</v>
      </c>
      <c r="P68" s="27">
        <v>0.25002794220000002</v>
      </c>
      <c r="Q68" s="27">
        <v>0.22993335670000001</v>
      </c>
      <c r="R68" s="27">
        <v>0.2421901105</v>
      </c>
      <c r="S68" s="27">
        <v>0.23056273999999999</v>
      </c>
      <c r="T68" s="27">
        <v>0.2212912363</v>
      </c>
      <c r="U68" s="27">
        <v>0.22124995180000001</v>
      </c>
      <c r="V68" s="21" t="s">
        <v>49</v>
      </c>
      <c r="W68" s="21" t="s">
        <v>50</v>
      </c>
      <c r="X68" s="21" t="s">
        <v>51</v>
      </c>
      <c r="Y68" s="27">
        <v>845.31896972660002</v>
      </c>
      <c r="Z68" s="27">
        <v>810.57702636720001</v>
      </c>
      <c r="AA68" s="27">
        <v>793.5230102539</v>
      </c>
      <c r="AB68" s="27">
        <v>883.59997558589998</v>
      </c>
      <c r="AC68" s="27">
        <v>917.17700195309999</v>
      </c>
      <c r="AD68" s="27">
        <v>983.21374511720001</v>
      </c>
      <c r="AE68" s="21" t="s">
        <v>52</v>
      </c>
      <c r="AF68" s="21" t="s">
        <v>53</v>
      </c>
      <c r="AG68" s="27">
        <v>716.12065648930002</v>
      </c>
      <c r="AH68" s="27">
        <v>724.07878204320002</v>
      </c>
      <c r="AI68" s="27">
        <v>696.29676786669995</v>
      </c>
      <c r="AJ68" s="27">
        <v>746.9747116364</v>
      </c>
      <c r="AK68" s="27">
        <v>872.15785854429998</v>
      </c>
      <c r="AL68" s="27">
        <v>911.11488495009996</v>
      </c>
      <c r="AM68" s="28">
        <v>59</v>
      </c>
      <c r="AN68" s="28">
        <v>64</v>
      </c>
      <c r="AO68" s="28">
        <v>57</v>
      </c>
      <c r="AP68" s="28">
        <v>60</v>
      </c>
      <c r="AQ68" s="28">
        <v>66</v>
      </c>
      <c r="AR68" s="28">
        <v>65</v>
      </c>
    </row>
    <row r="69" spans="1:44" x14ac:dyDescent="0.2">
      <c r="A69" s="21" t="s">
        <v>39</v>
      </c>
      <c r="B69" s="21" t="s">
        <v>40</v>
      </c>
      <c r="C69" s="21" t="s">
        <v>41</v>
      </c>
      <c r="D69" s="21">
        <v>2024</v>
      </c>
      <c r="E69" s="21" t="s">
        <v>42</v>
      </c>
      <c r="F69" s="21" t="s">
        <v>43</v>
      </c>
      <c r="G69" s="21" t="s">
        <v>44</v>
      </c>
      <c r="H69" s="21">
        <v>714778</v>
      </c>
      <c r="I69" s="21" t="s">
        <v>45</v>
      </c>
      <c r="J69" s="21">
        <v>2</v>
      </c>
      <c r="K69" s="21" t="s">
        <v>46</v>
      </c>
      <c r="L69" s="21" t="s">
        <v>168</v>
      </c>
      <c r="M69" s="21" t="s">
        <v>168</v>
      </c>
      <c r="N69" s="21" t="s">
        <v>169</v>
      </c>
      <c r="O69" s="21" t="s">
        <v>169</v>
      </c>
      <c r="P69" s="27">
        <v>0.27039648119999998</v>
      </c>
      <c r="Q69" s="27">
        <v>0.26321270390000001</v>
      </c>
      <c r="R69" s="27">
        <v>0.21406421040000001</v>
      </c>
      <c r="S69" s="27">
        <v>0.2279612191</v>
      </c>
      <c r="T69" s="27">
        <v>0.22274924939999999</v>
      </c>
      <c r="U69" s="27">
        <v>0.21308736880000001</v>
      </c>
      <c r="V69" s="21" t="s">
        <v>49</v>
      </c>
      <c r="W69" s="21" t="s">
        <v>50</v>
      </c>
      <c r="X69" s="21" t="s">
        <v>51</v>
      </c>
      <c r="Y69" s="27">
        <v>914.18292236330001</v>
      </c>
      <c r="Z69" s="27">
        <v>927.89569091800001</v>
      </c>
      <c r="AA69" s="27">
        <v>701.36999511720001</v>
      </c>
      <c r="AB69" s="27">
        <v>873.63000488279999</v>
      </c>
      <c r="AC69" s="27">
        <v>923.21997070309999</v>
      </c>
      <c r="AD69" s="27">
        <v>946.9400024414</v>
      </c>
      <c r="AE69" s="21" t="s">
        <v>52</v>
      </c>
      <c r="AF69" s="21" t="s">
        <v>53</v>
      </c>
      <c r="AG69" s="27">
        <v>774.45946200150001</v>
      </c>
      <c r="AH69" s="27">
        <v>828.87814468930003</v>
      </c>
      <c r="AI69" s="27">
        <v>615.43478181249998</v>
      </c>
      <c r="AJ69" s="27">
        <v>738.54633205660002</v>
      </c>
      <c r="AK69" s="27">
        <v>877.90421139980003</v>
      </c>
      <c r="AL69" s="27">
        <v>877.50108830739998</v>
      </c>
      <c r="AM69" s="28">
        <v>57</v>
      </c>
      <c r="AN69" s="28">
        <v>58</v>
      </c>
      <c r="AO69" s="28">
        <v>63</v>
      </c>
      <c r="AP69" s="28">
        <v>63</v>
      </c>
      <c r="AQ69" s="28">
        <v>64</v>
      </c>
      <c r="AR69" s="28">
        <v>66</v>
      </c>
    </row>
    <row r="70" spans="1:44" x14ac:dyDescent="0.2">
      <c r="A70" s="21" t="s">
        <v>39</v>
      </c>
      <c r="B70" s="21" t="s">
        <v>40</v>
      </c>
      <c r="C70" s="21" t="s">
        <v>41</v>
      </c>
      <c r="D70" s="21">
        <v>2024</v>
      </c>
      <c r="E70" s="21" t="s">
        <v>42</v>
      </c>
      <c r="F70" s="21" t="s">
        <v>43</v>
      </c>
      <c r="G70" s="21" t="s">
        <v>44</v>
      </c>
      <c r="H70" s="21">
        <v>714778</v>
      </c>
      <c r="I70" s="21" t="s">
        <v>45</v>
      </c>
      <c r="J70" s="21">
        <v>2</v>
      </c>
      <c r="K70" s="21" t="s">
        <v>46</v>
      </c>
      <c r="L70" s="21" t="s">
        <v>170</v>
      </c>
      <c r="M70" s="21" t="s">
        <v>170</v>
      </c>
      <c r="N70" s="21" t="s">
        <v>67</v>
      </c>
      <c r="O70" s="21" t="s">
        <v>67</v>
      </c>
      <c r="P70" s="27">
        <v>0.23178930740000001</v>
      </c>
      <c r="Q70" s="27">
        <v>0.2054055742</v>
      </c>
      <c r="R70" s="27">
        <v>0.1823288414</v>
      </c>
      <c r="S70" s="27">
        <v>0.18783605510000001</v>
      </c>
      <c r="T70" s="27">
        <v>0.19133051749999999</v>
      </c>
      <c r="U70" s="27">
        <v>0.19939558830000001</v>
      </c>
      <c r="V70" s="21" t="s">
        <v>49</v>
      </c>
      <c r="W70" s="21" t="s">
        <v>50</v>
      </c>
      <c r="X70" s="21" t="s">
        <v>51</v>
      </c>
      <c r="Y70" s="27">
        <v>783.65600585940001</v>
      </c>
      <c r="Z70" s="27">
        <v>724.10998535160002</v>
      </c>
      <c r="AA70" s="27">
        <v>597.39074707029999</v>
      </c>
      <c r="AB70" s="27">
        <v>719.85583496089998</v>
      </c>
      <c r="AC70" s="27">
        <v>793</v>
      </c>
      <c r="AD70" s="27">
        <v>886.09503173830001</v>
      </c>
      <c r="AE70" s="21" t="s">
        <v>52</v>
      </c>
      <c r="AF70" s="21" t="s">
        <v>53</v>
      </c>
      <c r="AG70" s="27">
        <v>663.88224265140002</v>
      </c>
      <c r="AH70" s="27">
        <v>646.83880643459997</v>
      </c>
      <c r="AI70" s="27">
        <v>524.19556958459998</v>
      </c>
      <c r="AJ70" s="27">
        <v>608.54925259950005</v>
      </c>
      <c r="AK70" s="27">
        <v>754.07601842700001</v>
      </c>
      <c r="AL70" s="27">
        <v>821.11786669629998</v>
      </c>
      <c r="AM70" s="28">
        <v>65</v>
      </c>
      <c r="AN70" s="28">
        <v>71</v>
      </c>
      <c r="AO70" s="28">
        <v>71</v>
      </c>
      <c r="AP70" s="28">
        <v>68</v>
      </c>
      <c r="AQ70" s="28">
        <v>69</v>
      </c>
      <c r="AR70" s="28">
        <v>67</v>
      </c>
    </row>
    <row r="71" spans="1:44" x14ac:dyDescent="0.2">
      <c r="A71" s="21" t="s">
        <v>39</v>
      </c>
      <c r="B71" s="21" t="s">
        <v>40</v>
      </c>
      <c r="C71" s="21" t="s">
        <v>41</v>
      </c>
      <c r="D71" s="21">
        <v>2024</v>
      </c>
      <c r="E71" s="21" t="s">
        <v>42</v>
      </c>
      <c r="F71" s="21" t="s">
        <v>43</v>
      </c>
      <c r="G71" s="21" t="s">
        <v>44</v>
      </c>
      <c r="H71" s="21">
        <v>714778</v>
      </c>
      <c r="I71" s="21" t="s">
        <v>45</v>
      </c>
      <c r="J71" s="21">
        <v>2</v>
      </c>
      <c r="K71" s="21" t="s">
        <v>46</v>
      </c>
      <c r="L71" s="21" t="s">
        <v>171</v>
      </c>
      <c r="M71" s="21" t="s">
        <v>171</v>
      </c>
      <c r="N71" s="21" t="s">
        <v>172</v>
      </c>
      <c r="O71" s="21" t="s">
        <v>172</v>
      </c>
      <c r="P71" s="27">
        <v>0.2228342898</v>
      </c>
      <c r="Q71" s="27">
        <v>0.2129255696</v>
      </c>
      <c r="R71" s="27">
        <v>0.2245298094</v>
      </c>
      <c r="S71" s="27">
        <v>0.20238691289999999</v>
      </c>
      <c r="T71" s="27">
        <v>0.1969798468</v>
      </c>
      <c r="U71" s="27">
        <v>0.19124790729999999</v>
      </c>
      <c r="V71" s="21" t="s">
        <v>49</v>
      </c>
      <c r="W71" s="21" t="s">
        <v>50</v>
      </c>
      <c r="X71" s="21" t="s">
        <v>51</v>
      </c>
      <c r="Y71" s="27">
        <v>753.38000488279999</v>
      </c>
      <c r="Z71" s="27">
        <v>750.61999511720001</v>
      </c>
      <c r="AA71" s="27">
        <v>735.65997314449999</v>
      </c>
      <c r="AB71" s="27">
        <v>775.61999511720001</v>
      </c>
      <c r="AC71" s="27">
        <v>816.41455078130002</v>
      </c>
      <c r="AD71" s="27">
        <v>849.88751220699999</v>
      </c>
      <c r="AE71" s="21" t="s">
        <v>52</v>
      </c>
      <c r="AF71" s="21" t="s">
        <v>53</v>
      </c>
      <c r="AG71" s="27">
        <v>638.23361713639997</v>
      </c>
      <c r="AH71" s="27">
        <v>670.51988171640005</v>
      </c>
      <c r="AI71" s="27">
        <v>645.52338738799995</v>
      </c>
      <c r="AJ71" s="27">
        <v>655.69096672729995</v>
      </c>
      <c r="AK71" s="27">
        <v>776.34127848549997</v>
      </c>
      <c r="AL71" s="27">
        <v>787.56543706859998</v>
      </c>
      <c r="AM71" s="28">
        <v>67</v>
      </c>
      <c r="AN71" s="28">
        <v>65</v>
      </c>
      <c r="AO71" s="28">
        <v>62</v>
      </c>
      <c r="AP71" s="28">
        <v>66</v>
      </c>
      <c r="AQ71" s="28">
        <v>67</v>
      </c>
      <c r="AR71" s="28">
        <v>68</v>
      </c>
    </row>
    <row r="72" spans="1:44" x14ac:dyDescent="0.2">
      <c r="A72" s="21" t="s">
        <v>39</v>
      </c>
      <c r="B72" s="21" t="s">
        <v>40</v>
      </c>
      <c r="C72" s="21" t="s">
        <v>41</v>
      </c>
      <c r="D72" s="21">
        <v>2024</v>
      </c>
      <c r="E72" s="21" t="s">
        <v>42</v>
      </c>
      <c r="F72" s="21" t="s">
        <v>43</v>
      </c>
      <c r="G72" s="21" t="s">
        <v>44</v>
      </c>
      <c r="H72" s="21">
        <v>714778</v>
      </c>
      <c r="I72" s="21" t="s">
        <v>45</v>
      </c>
      <c r="J72" s="21">
        <v>2</v>
      </c>
      <c r="K72" s="21" t="s">
        <v>46</v>
      </c>
      <c r="L72" s="21" t="s">
        <v>173</v>
      </c>
      <c r="M72" s="21" t="s">
        <v>173</v>
      </c>
      <c r="N72" s="21" t="s">
        <v>174</v>
      </c>
      <c r="O72" s="21" t="s">
        <v>174</v>
      </c>
      <c r="P72" s="27">
        <v>0.23904003700000001</v>
      </c>
      <c r="Q72" s="27">
        <v>0.23476380329999999</v>
      </c>
      <c r="R72" s="27">
        <v>0.1806652268</v>
      </c>
      <c r="S72" s="27">
        <v>0.18326555620000001</v>
      </c>
      <c r="T72" s="27">
        <v>0.1908081345</v>
      </c>
      <c r="U72" s="27">
        <v>0.1872133477</v>
      </c>
      <c r="V72" s="21" t="s">
        <v>49</v>
      </c>
      <c r="W72" s="21" t="s">
        <v>50</v>
      </c>
      <c r="X72" s="21" t="s">
        <v>51</v>
      </c>
      <c r="Y72" s="27">
        <v>808.16998291020002</v>
      </c>
      <c r="Z72" s="27">
        <v>827.60565185550001</v>
      </c>
      <c r="AA72" s="27">
        <v>591.9400024414</v>
      </c>
      <c r="AB72" s="27">
        <v>702.34002685550001</v>
      </c>
      <c r="AC72" s="27">
        <v>790.83489990229998</v>
      </c>
      <c r="AD72" s="27">
        <v>831.95831298830001</v>
      </c>
      <c r="AE72" s="21" t="s">
        <v>52</v>
      </c>
      <c r="AF72" s="21" t="s">
        <v>53</v>
      </c>
      <c r="AG72" s="27">
        <v>684.64951035440004</v>
      </c>
      <c r="AH72" s="27">
        <v>739.29024992639995</v>
      </c>
      <c r="AI72" s="27">
        <v>519.41267631180006</v>
      </c>
      <c r="AJ72" s="27">
        <v>593.74179892120003</v>
      </c>
      <c r="AK72" s="27">
        <v>752.01719111149998</v>
      </c>
      <c r="AL72" s="27">
        <v>770.95098231290001</v>
      </c>
      <c r="AM72" s="28">
        <v>63</v>
      </c>
      <c r="AN72" s="28">
        <v>62</v>
      </c>
      <c r="AO72" s="28">
        <v>72</v>
      </c>
      <c r="AP72" s="28">
        <v>70</v>
      </c>
      <c r="AQ72" s="28">
        <v>70</v>
      </c>
      <c r="AR72" s="28">
        <v>69</v>
      </c>
    </row>
    <row r="73" spans="1:44" x14ac:dyDescent="0.2">
      <c r="A73" s="21" t="s">
        <v>39</v>
      </c>
      <c r="B73" s="21" t="s">
        <v>40</v>
      </c>
      <c r="C73" s="21" t="s">
        <v>41</v>
      </c>
      <c r="D73" s="21">
        <v>2024</v>
      </c>
      <c r="E73" s="21" t="s">
        <v>42</v>
      </c>
      <c r="F73" s="21" t="s">
        <v>43</v>
      </c>
      <c r="G73" s="21" t="s">
        <v>44</v>
      </c>
      <c r="H73" s="21">
        <v>714778</v>
      </c>
      <c r="I73" s="21" t="s">
        <v>45</v>
      </c>
      <c r="J73" s="21">
        <v>2</v>
      </c>
      <c r="K73" s="21" t="s">
        <v>46</v>
      </c>
      <c r="L73" s="21" t="s">
        <v>175</v>
      </c>
      <c r="M73" s="21" t="s">
        <v>175</v>
      </c>
      <c r="N73" s="21" t="s">
        <v>294</v>
      </c>
      <c r="O73" s="21" t="s">
        <v>176</v>
      </c>
      <c r="P73" s="27">
        <v>0.21496685369999999</v>
      </c>
      <c r="Q73" s="27">
        <v>0.210283789</v>
      </c>
      <c r="R73" s="27">
        <v>0.1144483744</v>
      </c>
      <c r="S73" s="27">
        <v>0.15024674800000001</v>
      </c>
      <c r="T73" s="27">
        <v>0.1677381795</v>
      </c>
      <c r="U73" s="27">
        <v>0.1810045495</v>
      </c>
      <c r="V73" s="21" t="s">
        <v>49</v>
      </c>
      <c r="W73" s="21" t="s">
        <v>50</v>
      </c>
      <c r="X73" s="21" t="s">
        <v>51</v>
      </c>
      <c r="Y73" s="27">
        <v>726.78100585940001</v>
      </c>
      <c r="Z73" s="27">
        <v>741.30700683589998</v>
      </c>
      <c r="AA73" s="27">
        <v>374.98400878910002</v>
      </c>
      <c r="AB73" s="27">
        <v>575.79998779300001</v>
      </c>
      <c r="AC73" s="27">
        <v>695.2177734375</v>
      </c>
      <c r="AD73" s="27">
        <v>804.36700439449999</v>
      </c>
      <c r="AE73" s="21" t="s">
        <v>52</v>
      </c>
      <c r="AF73" s="21" t="s">
        <v>53</v>
      </c>
      <c r="AG73" s="27">
        <v>615.70000163179998</v>
      </c>
      <c r="AH73" s="27">
        <v>662.20070045099999</v>
      </c>
      <c r="AI73" s="27">
        <v>329.0391708212</v>
      </c>
      <c r="AJ73" s="27">
        <v>486.76781544350001</v>
      </c>
      <c r="AK73" s="27">
        <v>661.09338024390001</v>
      </c>
      <c r="AL73" s="27">
        <v>745.38293866030006</v>
      </c>
      <c r="AM73" s="28">
        <v>70</v>
      </c>
      <c r="AN73" s="28">
        <v>68</v>
      </c>
      <c r="AO73" s="28">
        <v>88</v>
      </c>
      <c r="AP73" s="28">
        <v>82</v>
      </c>
      <c r="AQ73" s="28">
        <v>79</v>
      </c>
      <c r="AR73" s="28">
        <v>70</v>
      </c>
    </row>
    <row r="74" spans="1:44" x14ac:dyDescent="0.2">
      <c r="A74" s="21" t="s">
        <v>39</v>
      </c>
      <c r="B74" s="21" t="s">
        <v>40</v>
      </c>
      <c r="C74" s="21" t="s">
        <v>41</v>
      </c>
      <c r="D74" s="21">
        <v>2024</v>
      </c>
      <c r="E74" s="21" t="s">
        <v>42</v>
      </c>
      <c r="F74" s="21" t="s">
        <v>43</v>
      </c>
      <c r="G74" s="21" t="s">
        <v>44</v>
      </c>
      <c r="H74" s="21">
        <v>714778</v>
      </c>
      <c r="I74" s="21" t="s">
        <v>45</v>
      </c>
      <c r="J74" s="21">
        <v>2</v>
      </c>
      <c r="K74" s="21" t="s">
        <v>46</v>
      </c>
      <c r="L74" s="21" t="s">
        <v>177</v>
      </c>
      <c r="M74" s="21" t="s">
        <v>177</v>
      </c>
      <c r="N74" s="21" t="s">
        <v>178</v>
      </c>
      <c r="O74" s="21" t="s">
        <v>178</v>
      </c>
      <c r="P74" s="27">
        <v>0.2316712953</v>
      </c>
      <c r="Q74" s="27">
        <v>0.2128240253</v>
      </c>
      <c r="R74" s="27">
        <v>0.23559973410000001</v>
      </c>
      <c r="S74" s="27">
        <v>0.2111143378</v>
      </c>
      <c r="T74" s="27">
        <v>0.19265341750000001</v>
      </c>
      <c r="U74" s="27">
        <v>0.17878208879999999</v>
      </c>
      <c r="V74" s="21" t="s">
        <v>49</v>
      </c>
      <c r="W74" s="21" t="s">
        <v>50</v>
      </c>
      <c r="X74" s="21" t="s">
        <v>51</v>
      </c>
      <c r="Y74" s="27">
        <v>783.25701904300001</v>
      </c>
      <c r="Z74" s="27">
        <v>750.26202392580001</v>
      </c>
      <c r="AA74" s="27">
        <v>771.92999267580001</v>
      </c>
      <c r="AB74" s="27">
        <v>809.06665039059999</v>
      </c>
      <c r="AC74" s="27">
        <v>798.4829711914</v>
      </c>
      <c r="AD74" s="27">
        <v>794.49060058589998</v>
      </c>
      <c r="AE74" s="21" t="s">
        <v>52</v>
      </c>
      <c r="AF74" s="21" t="s">
        <v>53</v>
      </c>
      <c r="AG74" s="27">
        <v>663.54423686760003</v>
      </c>
      <c r="AH74" s="27">
        <v>670.20011032410002</v>
      </c>
      <c r="AI74" s="27">
        <v>677.3494302926</v>
      </c>
      <c r="AJ74" s="27">
        <v>683.96598525189995</v>
      </c>
      <c r="AK74" s="27">
        <v>759.2898609051</v>
      </c>
      <c r="AL74" s="27">
        <v>736.23076949619997</v>
      </c>
      <c r="AM74" s="28">
        <v>66</v>
      </c>
      <c r="AN74" s="28">
        <v>66</v>
      </c>
      <c r="AO74" s="28">
        <v>59</v>
      </c>
      <c r="AP74" s="28">
        <v>65</v>
      </c>
      <c r="AQ74" s="28">
        <v>68</v>
      </c>
      <c r="AR74" s="28">
        <v>71</v>
      </c>
    </row>
    <row r="75" spans="1:44" x14ac:dyDescent="0.2">
      <c r="A75" s="21" t="s">
        <v>39</v>
      </c>
      <c r="B75" s="21" t="s">
        <v>40</v>
      </c>
      <c r="C75" s="21" t="s">
        <v>41</v>
      </c>
      <c r="D75" s="21">
        <v>2024</v>
      </c>
      <c r="E75" s="21" t="s">
        <v>42</v>
      </c>
      <c r="F75" s="21" t="s">
        <v>43</v>
      </c>
      <c r="G75" s="21" t="s">
        <v>44</v>
      </c>
      <c r="H75" s="21">
        <v>714778</v>
      </c>
      <c r="I75" s="21" t="s">
        <v>45</v>
      </c>
      <c r="J75" s="21">
        <v>2</v>
      </c>
      <c r="K75" s="21" t="s">
        <v>46</v>
      </c>
      <c r="L75" s="21" t="s">
        <v>179</v>
      </c>
      <c r="M75" s="21" t="s">
        <v>179</v>
      </c>
      <c r="N75" s="21" t="s">
        <v>81</v>
      </c>
      <c r="O75" s="21" t="s">
        <v>81</v>
      </c>
      <c r="P75" s="27">
        <v>0.19556934640000001</v>
      </c>
      <c r="Q75" s="27">
        <v>0.1910903313</v>
      </c>
      <c r="R75" s="27">
        <v>0.1408751727</v>
      </c>
      <c r="S75" s="27">
        <v>0.16524272849999999</v>
      </c>
      <c r="T75" s="27">
        <v>0.17296028660000001</v>
      </c>
      <c r="U75" s="27">
        <v>0.17437984079999999</v>
      </c>
      <c r="V75" s="21" t="s">
        <v>49</v>
      </c>
      <c r="W75" s="21" t="s">
        <v>50</v>
      </c>
      <c r="X75" s="21" t="s">
        <v>51</v>
      </c>
      <c r="Y75" s="27">
        <v>661.20001220699999</v>
      </c>
      <c r="Z75" s="27">
        <v>673.64489746089998</v>
      </c>
      <c r="AA75" s="27">
        <v>461.57000732419999</v>
      </c>
      <c r="AB75" s="27">
        <v>633.27001953130002</v>
      </c>
      <c r="AC75" s="27">
        <v>716.86163330080001</v>
      </c>
      <c r="AD75" s="27">
        <v>774.92742919919999</v>
      </c>
      <c r="AE75" s="21" t="s">
        <v>52</v>
      </c>
      <c r="AF75" s="21" t="s">
        <v>53</v>
      </c>
      <c r="AG75" s="27">
        <v>560.14238857739997</v>
      </c>
      <c r="AH75" s="27">
        <v>601.75894580830004</v>
      </c>
      <c r="AI75" s="27">
        <v>405.01623782939998</v>
      </c>
      <c r="AJ75" s="27">
        <v>535.35163342850001</v>
      </c>
      <c r="AK75" s="27">
        <v>681.67486280269998</v>
      </c>
      <c r="AL75" s="27">
        <v>718.10216141290005</v>
      </c>
      <c r="AM75" s="28">
        <v>72</v>
      </c>
      <c r="AN75" s="28">
        <v>73</v>
      </c>
      <c r="AO75" s="28">
        <v>80</v>
      </c>
      <c r="AP75" s="28">
        <v>75</v>
      </c>
      <c r="AQ75" s="28">
        <v>74</v>
      </c>
      <c r="AR75" s="28">
        <v>72</v>
      </c>
    </row>
    <row r="76" spans="1:44" x14ac:dyDescent="0.2">
      <c r="A76" s="21" t="s">
        <v>39</v>
      </c>
      <c r="B76" s="21" t="s">
        <v>40</v>
      </c>
      <c r="C76" s="21" t="s">
        <v>41</v>
      </c>
      <c r="D76" s="21">
        <v>2024</v>
      </c>
      <c r="E76" s="21" t="s">
        <v>42</v>
      </c>
      <c r="F76" s="21" t="s">
        <v>43</v>
      </c>
      <c r="G76" s="21" t="s">
        <v>44</v>
      </c>
      <c r="H76" s="21">
        <v>714778</v>
      </c>
      <c r="I76" s="21" t="s">
        <v>45</v>
      </c>
      <c r="J76" s="21">
        <v>2</v>
      </c>
      <c r="K76" s="21" t="s">
        <v>46</v>
      </c>
      <c r="L76" s="21" t="s">
        <v>180</v>
      </c>
      <c r="M76" s="21" t="s">
        <v>180</v>
      </c>
      <c r="N76" s="21" t="s">
        <v>181</v>
      </c>
      <c r="O76" s="21" t="s">
        <v>181</v>
      </c>
      <c r="P76" s="27">
        <v>0.18886993569999999</v>
      </c>
      <c r="Q76" s="27">
        <v>0.19175243850000001</v>
      </c>
      <c r="R76" s="27">
        <v>0.16289261460000001</v>
      </c>
      <c r="S76" s="27">
        <v>0.1578660724</v>
      </c>
      <c r="T76" s="27">
        <v>0.17176331040000001</v>
      </c>
      <c r="U76" s="27">
        <v>0.17388535490000001</v>
      </c>
      <c r="V76" s="21" t="s">
        <v>49</v>
      </c>
      <c r="W76" s="21" t="s">
        <v>50</v>
      </c>
      <c r="X76" s="21" t="s">
        <v>51</v>
      </c>
      <c r="Y76" s="27">
        <v>638.54998779300001</v>
      </c>
      <c r="Z76" s="27">
        <v>675.97900390630002</v>
      </c>
      <c r="AA76" s="27">
        <v>533.708984375</v>
      </c>
      <c r="AB76" s="27">
        <v>605</v>
      </c>
      <c r="AC76" s="27">
        <v>711.90057373050001</v>
      </c>
      <c r="AD76" s="27">
        <v>772.72998046880002</v>
      </c>
      <c r="AE76" s="21" t="s">
        <v>52</v>
      </c>
      <c r="AF76" s="21" t="s">
        <v>53</v>
      </c>
      <c r="AG76" s="27">
        <v>540.95418751509999</v>
      </c>
      <c r="AH76" s="27">
        <v>603.84397523439998</v>
      </c>
      <c r="AI76" s="27">
        <v>468.31640166659997</v>
      </c>
      <c r="AJ76" s="27">
        <v>511.4528214426</v>
      </c>
      <c r="AK76" s="27">
        <v>676.95731419239996</v>
      </c>
      <c r="AL76" s="27">
        <v>716.06585114250004</v>
      </c>
      <c r="AM76" s="28">
        <v>75</v>
      </c>
      <c r="AN76" s="28">
        <v>72</v>
      </c>
      <c r="AO76" s="28">
        <v>76</v>
      </c>
      <c r="AP76" s="28">
        <v>77</v>
      </c>
      <c r="AQ76" s="28">
        <v>76</v>
      </c>
      <c r="AR76" s="28">
        <v>73</v>
      </c>
    </row>
    <row r="77" spans="1:44" x14ac:dyDescent="0.2">
      <c r="A77" s="21" t="s">
        <v>39</v>
      </c>
      <c r="B77" s="21" t="s">
        <v>40</v>
      </c>
      <c r="C77" s="21" t="s">
        <v>41</v>
      </c>
      <c r="D77" s="21">
        <v>2024</v>
      </c>
      <c r="E77" s="21" t="s">
        <v>42</v>
      </c>
      <c r="F77" s="21" t="s">
        <v>43</v>
      </c>
      <c r="G77" s="21" t="s">
        <v>44</v>
      </c>
      <c r="H77" s="21">
        <v>714778</v>
      </c>
      <c r="I77" s="21" t="s">
        <v>45</v>
      </c>
      <c r="J77" s="21">
        <v>2</v>
      </c>
      <c r="K77" s="21" t="s">
        <v>46</v>
      </c>
      <c r="L77" s="21" t="s">
        <v>182</v>
      </c>
      <c r="M77" s="21" t="s">
        <v>182</v>
      </c>
      <c r="N77" s="21" t="s">
        <v>290</v>
      </c>
      <c r="O77" s="21" t="s">
        <v>111</v>
      </c>
      <c r="P77" s="27">
        <v>0.19301451210000001</v>
      </c>
      <c r="Q77" s="27">
        <v>0.18712611949999999</v>
      </c>
      <c r="R77" s="27">
        <v>0.16571611159999999</v>
      </c>
      <c r="S77" s="27">
        <v>0.18779289499999999</v>
      </c>
      <c r="T77" s="27">
        <v>0.17989394789999999</v>
      </c>
      <c r="U77" s="27">
        <v>0.1729813999</v>
      </c>
      <c r="V77" s="21" t="s">
        <v>49</v>
      </c>
      <c r="W77" s="21" t="s">
        <v>50</v>
      </c>
      <c r="X77" s="21" t="s">
        <v>51</v>
      </c>
      <c r="Y77" s="27">
        <v>652.56237792970001</v>
      </c>
      <c r="Z77" s="27">
        <v>659.66998291020002</v>
      </c>
      <c r="AA77" s="27">
        <v>542.96002197270002</v>
      </c>
      <c r="AB77" s="27">
        <v>719.6904296875</v>
      </c>
      <c r="AC77" s="27">
        <v>745.59930419919999</v>
      </c>
      <c r="AD77" s="27">
        <v>768.712890625</v>
      </c>
      <c r="AE77" s="21" t="s">
        <v>52</v>
      </c>
      <c r="AF77" s="21" t="s">
        <v>53</v>
      </c>
      <c r="AG77" s="27">
        <v>552.82492789009996</v>
      </c>
      <c r="AH77" s="27">
        <v>589.2753214544</v>
      </c>
      <c r="AI77" s="27">
        <v>476.43395779970001</v>
      </c>
      <c r="AJ77" s="27">
        <v>608.40942285769995</v>
      </c>
      <c r="AK77" s="27">
        <v>709.00196046969995</v>
      </c>
      <c r="AL77" s="27">
        <v>712.34333366440001</v>
      </c>
      <c r="AM77" s="28">
        <v>73</v>
      </c>
      <c r="AN77" s="28">
        <v>74</v>
      </c>
      <c r="AO77" s="28">
        <v>74</v>
      </c>
      <c r="AP77" s="28">
        <v>69</v>
      </c>
      <c r="AQ77" s="28">
        <v>71</v>
      </c>
      <c r="AR77" s="28">
        <v>74</v>
      </c>
    </row>
    <row r="78" spans="1:44" x14ac:dyDescent="0.2">
      <c r="A78" s="21" t="s">
        <v>39</v>
      </c>
      <c r="B78" s="21" t="s">
        <v>40</v>
      </c>
      <c r="C78" s="21" t="s">
        <v>41</v>
      </c>
      <c r="D78" s="21">
        <v>2024</v>
      </c>
      <c r="E78" s="21" t="s">
        <v>42</v>
      </c>
      <c r="F78" s="21" t="s">
        <v>43</v>
      </c>
      <c r="G78" s="21" t="s">
        <v>44</v>
      </c>
      <c r="H78" s="21">
        <v>714778</v>
      </c>
      <c r="I78" s="21" t="s">
        <v>45</v>
      </c>
      <c r="J78" s="21">
        <v>2</v>
      </c>
      <c r="K78" s="21" t="s">
        <v>46</v>
      </c>
      <c r="L78" s="21" t="s">
        <v>183</v>
      </c>
      <c r="M78" s="21" t="s">
        <v>183</v>
      </c>
      <c r="N78" s="21" t="s">
        <v>81</v>
      </c>
      <c r="O78" s="21" t="s">
        <v>81</v>
      </c>
      <c r="P78" s="27">
        <v>0.1743619595</v>
      </c>
      <c r="Q78" s="27">
        <v>0.182078716</v>
      </c>
      <c r="R78" s="27">
        <v>0.13423077380000001</v>
      </c>
      <c r="S78" s="27">
        <v>0.1621558552</v>
      </c>
      <c r="T78" s="27">
        <v>0.17269581849999999</v>
      </c>
      <c r="U78" s="27">
        <v>0.17266360920000001</v>
      </c>
      <c r="V78" s="21" t="s">
        <v>49</v>
      </c>
      <c r="W78" s="21" t="s">
        <v>50</v>
      </c>
      <c r="X78" s="21" t="s">
        <v>51</v>
      </c>
      <c r="Y78" s="27">
        <v>589.5</v>
      </c>
      <c r="Z78" s="27">
        <v>641.8765258789</v>
      </c>
      <c r="AA78" s="27">
        <v>439.79998779300001</v>
      </c>
      <c r="AB78" s="27">
        <v>621.4400024414</v>
      </c>
      <c r="AC78" s="27">
        <v>715.76550292970001</v>
      </c>
      <c r="AD78" s="27">
        <v>767.30065917970001</v>
      </c>
      <c r="AE78" s="21" t="s">
        <v>52</v>
      </c>
      <c r="AF78" s="21" t="s">
        <v>53</v>
      </c>
      <c r="AG78" s="27">
        <v>499.40098604079998</v>
      </c>
      <c r="AH78" s="27">
        <v>573.38063868339998</v>
      </c>
      <c r="AI78" s="27">
        <v>385.91358542969999</v>
      </c>
      <c r="AJ78" s="27">
        <v>525.3508142247</v>
      </c>
      <c r="AK78" s="27">
        <v>680.63253540549999</v>
      </c>
      <c r="AL78" s="27">
        <v>711.03466085829996</v>
      </c>
      <c r="AM78" s="28">
        <v>79</v>
      </c>
      <c r="AN78" s="28">
        <v>76</v>
      </c>
      <c r="AO78" s="28">
        <v>83</v>
      </c>
      <c r="AP78" s="28">
        <v>76</v>
      </c>
      <c r="AQ78" s="28">
        <v>75</v>
      </c>
      <c r="AR78" s="28">
        <v>75</v>
      </c>
    </row>
    <row r="79" spans="1:44" x14ac:dyDescent="0.2">
      <c r="A79" s="21" t="s">
        <v>39</v>
      </c>
      <c r="B79" s="21" t="s">
        <v>40</v>
      </c>
      <c r="C79" s="21" t="s">
        <v>41</v>
      </c>
      <c r="D79" s="21">
        <v>2024</v>
      </c>
      <c r="E79" s="21" t="s">
        <v>42</v>
      </c>
      <c r="F79" s="21" t="s">
        <v>43</v>
      </c>
      <c r="G79" s="21" t="s">
        <v>44</v>
      </c>
      <c r="H79" s="21">
        <v>714778</v>
      </c>
      <c r="I79" s="21" t="s">
        <v>45</v>
      </c>
      <c r="J79" s="21">
        <v>2</v>
      </c>
      <c r="K79" s="21" t="s">
        <v>46</v>
      </c>
      <c r="L79" s="21" t="s">
        <v>184</v>
      </c>
      <c r="M79" s="21" t="s">
        <v>184</v>
      </c>
      <c r="N79" s="21" t="s">
        <v>185</v>
      </c>
      <c r="O79" s="21" t="s">
        <v>185</v>
      </c>
      <c r="P79" s="27">
        <v>0.1484102773</v>
      </c>
      <c r="Q79" s="27">
        <v>0.13971981480000001</v>
      </c>
      <c r="R79" s="27">
        <v>0.1422211441</v>
      </c>
      <c r="S79" s="27">
        <v>0.15680406229999999</v>
      </c>
      <c r="T79" s="27">
        <v>0.1698112624</v>
      </c>
      <c r="U79" s="27">
        <v>0.1712367927</v>
      </c>
      <c r="V79" s="21" t="s">
        <v>49</v>
      </c>
      <c r="W79" s="21" t="s">
        <v>50</v>
      </c>
      <c r="X79" s="21" t="s">
        <v>51</v>
      </c>
      <c r="Y79" s="27">
        <v>501.76000976559999</v>
      </c>
      <c r="Z79" s="27">
        <v>492.54998779300001</v>
      </c>
      <c r="AA79" s="27">
        <v>465.98001098629999</v>
      </c>
      <c r="AB79" s="27">
        <v>600.92999267580001</v>
      </c>
      <c r="AC79" s="27">
        <v>703.8099975586</v>
      </c>
      <c r="AD79" s="27">
        <v>760.96002197270002</v>
      </c>
      <c r="AE79" s="21" t="s">
        <v>52</v>
      </c>
      <c r="AF79" s="21" t="s">
        <v>53</v>
      </c>
      <c r="AG79" s="27">
        <v>425.0711512007</v>
      </c>
      <c r="AH79" s="27">
        <v>439.98902467660002</v>
      </c>
      <c r="AI79" s="27">
        <v>408.88590670669998</v>
      </c>
      <c r="AJ79" s="27">
        <v>508.01213263390002</v>
      </c>
      <c r="AK79" s="27">
        <v>669.2638596319</v>
      </c>
      <c r="AL79" s="27">
        <v>705.15898126369996</v>
      </c>
      <c r="AM79" s="28">
        <v>85</v>
      </c>
      <c r="AN79" s="28">
        <v>87</v>
      </c>
      <c r="AO79" s="28">
        <v>79</v>
      </c>
      <c r="AP79" s="28">
        <v>78</v>
      </c>
      <c r="AQ79" s="28">
        <v>78</v>
      </c>
      <c r="AR79" s="28">
        <v>76</v>
      </c>
    </row>
    <row r="80" spans="1:44" x14ac:dyDescent="0.2">
      <c r="A80" s="21" t="s">
        <v>39</v>
      </c>
      <c r="B80" s="21" t="s">
        <v>40</v>
      </c>
      <c r="C80" s="21" t="s">
        <v>41</v>
      </c>
      <c r="D80" s="21">
        <v>2024</v>
      </c>
      <c r="E80" s="21" t="s">
        <v>42</v>
      </c>
      <c r="F80" s="21" t="s">
        <v>43</v>
      </c>
      <c r="G80" s="21" t="s">
        <v>44</v>
      </c>
      <c r="H80" s="21">
        <v>714778</v>
      </c>
      <c r="I80" s="21" t="s">
        <v>45</v>
      </c>
      <c r="J80" s="21">
        <v>2</v>
      </c>
      <c r="K80" s="21" t="s">
        <v>46</v>
      </c>
      <c r="L80" s="21" t="s">
        <v>186</v>
      </c>
      <c r="M80" s="21" t="s">
        <v>186</v>
      </c>
      <c r="N80" s="21" t="s">
        <v>281</v>
      </c>
      <c r="O80" s="21" t="s">
        <v>176</v>
      </c>
      <c r="P80" s="27">
        <v>0.21896431669999999</v>
      </c>
      <c r="Q80" s="27">
        <v>0.2068497201</v>
      </c>
      <c r="R80" s="27">
        <v>0.19134753060000001</v>
      </c>
      <c r="S80" s="27">
        <v>0.1726428599</v>
      </c>
      <c r="T80" s="27">
        <v>0.17336374069999999</v>
      </c>
      <c r="U80" s="27">
        <v>0.17009759190000001</v>
      </c>
      <c r="V80" s="21" t="s">
        <v>49</v>
      </c>
      <c r="W80" s="21" t="s">
        <v>50</v>
      </c>
      <c r="X80" s="21" t="s">
        <v>51</v>
      </c>
      <c r="Y80" s="27">
        <v>740.29602050779999</v>
      </c>
      <c r="Z80" s="27">
        <v>729.20098876949999</v>
      </c>
      <c r="AA80" s="27">
        <v>626.9400024414</v>
      </c>
      <c r="AB80" s="27">
        <v>661.63000488279999</v>
      </c>
      <c r="AC80" s="27">
        <v>718.53381347660002</v>
      </c>
      <c r="AD80" s="27">
        <v>755.89752197270002</v>
      </c>
      <c r="AE80" s="21" t="s">
        <v>52</v>
      </c>
      <c r="AF80" s="21" t="s">
        <v>53</v>
      </c>
      <c r="AG80" s="27">
        <v>627.14938524800004</v>
      </c>
      <c r="AH80" s="27">
        <v>651.38653901819998</v>
      </c>
      <c r="AI80" s="27">
        <v>550.12430856490005</v>
      </c>
      <c r="AJ80" s="27">
        <v>559.32650041060003</v>
      </c>
      <c r="AK80" s="27">
        <v>683.26496490739999</v>
      </c>
      <c r="AL80" s="27">
        <v>700.46771333950005</v>
      </c>
      <c r="AM80" s="28">
        <v>68</v>
      </c>
      <c r="AN80" s="28">
        <v>70</v>
      </c>
      <c r="AO80" s="28">
        <v>67</v>
      </c>
      <c r="AP80" s="28">
        <v>74</v>
      </c>
      <c r="AQ80" s="28">
        <v>73</v>
      </c>
      <c r="AR80" s="28">
        <v>77</v>
      </c>
    </row>
    <row r="81" spans="1:44" x14ac:dyDescent="0.2">
      <c r="A81" s="21" t="s">
        <v>39</v>
      </c>
      <c r="B81" s="21" t="s">
        <v>40</v>
      </c>
      <c r="C81" s="21" t="s">
        <v>41</v>
      </c>
      <c r="D81" s="21">
        <v>2024</v>
      </c>
      <c r="E81" s="21" t="s">
        <v>42</v>
      </c>
      <c r="F81" s="21" t="s">
        <v>43</v>
      </c>
      <c r="G81" s="21" t="s">
        <v>44</v>
      </c>
      <c r="H81" s="21">
        <v>714778</v>
      </c>
      <c r="I81" s="21" t="s">
        <v>45</v>
      </c>
      <c r="J81" s="21">
        <v>2</v>
      </c>
      <c r="K81" s="21" t="s">
        <v>46</v>
      </c>
      <c r="L81" s="21" t="s">
        <v>187</v>
      </c>
      <c r="M81" s="21" t="s">
        <v>187</v>
      </c>
      <c r="N81" s="21" t="s">
        <v>188</v>
      </c>
      <c r="O81" s="21" t="s">
        <v>188</v>
      </c>
      <c r="P81" s="27">
        <v>0.25120793670000002</v>
      </c>
      <c r="Q81" s="27">
        <v>0.2326542432</v>
      </c>
      <c r="R81" s="27">
        <v>0.1644098095</v>
      </c>
      <c r="S81" s="27">
        <v>0.17759802550000001</v>
      </c>
      <c r="T81" s="27">
        <v>0.1742332942</v>
      </c>
      <c r="U81" s="27">
        <v>0.1688382685</v>
      </c>
      <c r="V81" s="21" t="s">
        <v>49</v>
      </c>
      <c r="W81" s="21" t="s">
        <v>50</v>
      </c>
      <c r="X81" s="21" t="s">
        <v>51</v>
      </c>
      <c r="Y81" s="27">
        <v>849.30841064449999</v>
      </c>
      <c r="Z81" s="27">
        <v>820.16888427729998</v>
      </c>
      <c r="AA81" s="27">
        <v>538.67999267580001</v>
      </c>
      <c r="AB81" s="27">
        <v>680.61999511720001</v>
      </c>
      <c r="AC81" s="27">
        <v>722.13781738279999</v>
      </c>
      <c r="AD81" s="27">
        <v>750.3012084961</v>
      </c>
      <c r="AE81" s="21" t="s">
        <v>52</v>
      </c>
      <c r="AF81" s="21" t="s">
        <v>53</v>
      </c>
      <c r="AG81" s="27">
        <v>719.50035238110002</v>
      </c>
      <c r="AH81" s="27">
        <v>732.64707421929995</v>
      </c>
      <c r="AI81" s="27">
        <v>472.67833820549998</v>
      </c>
      <c r="AJ81" s="27">
        <v>575.38019311230005</v>
      </c>
      <c r="AK81" s="27">
        <v>686.69206820629995</v>
      </c>
      <c r="AL81" s="27">
        <v>695.28177637040005</v>
      </c>
      <c r="AM81" s="28">
        <v>58</v>
      </c>
      <c r="AN81" s="28">
        <v>63</v>
      </c>
      <c r="AO81" s="28">
        <v>75</v>
      </c>
      <c r="AP81" s="28">
        <v>73</v>
      </c>
      <c r="AQ81" s="28">
        <v>72</v>
      </c>
      <c r="AR81" s="28">
        <v>78</v>
      </c>
    </row>
    <row r="82" spans="1:44" x14ac:dyDescent="0.2">
      <c r="A82" s="21" t="s">
        <v>39</v>
      </c>
      <c r="B82" s="21" t="s">
        <v>40</v>
      </c>
      <c r="C82" s="21" t="s">
        <v>41</v>
      </c>
      <c r="D82" s="21">
        <v>2024</v>
      </c>
      <c r="E82" s="21" t="s">
        <v>42</v>
      </c>
      <c r="F82" s="21" t="s">
        <v>43</v>
      </c>
      <c r="G82" s="21" t="s">
        <v>44</v>
      </c>
      <c r="H82" s="21">
        <v>714778</v>
      </c>
      <c r="I82" s="21" t="s">
        <v>45</v>
      </c>
      <c r="J82" s="21">
        <v>2</v>
      </c>
      <c r="K82" s="21" t="s">
        <v>46</v>
      </c>
      <c r="L82" s="21" t="s">
        <v>189</v>
      </c>
      <c r="M82" s="21" t="s">
        <v>189</v>
      </c>
      <c r="N82" s="21" t="s">
        <v>265</v>
      </c>
      <c r="O82" s="21" t="s">
        <v>63</v>
      </c>
      <c r="P82" s="27">
        <v>0.18098742540000001</v>
      </c>
      <c r="Q82" s="27">
        <v>0.1745398487</v>
      </c>
      <c r="R82" s="27">
        <v>0.1892293816</v>
      </c>
      <c r="S82" s="27">
        <v>0.1790279478</v>
      </c>
      <c r="T82" s="27">
        <v>0.1704461095</v>
      </c>
      <c r="U82" s="27">
        <v>0.16562010590000001</v>
      </c>
      <c r="V82" s="21" t="s">
        <v>49</v>
      </c>
      <c r="W82" s="21" t="s">
        <v>50</v>
      </c>
      <c r="X82" s="21" t="s">
        <v>51</v>
      </c>
      <c r="Y82" s="27">
        <v>611.90002441410002</v>
      </c>
      <c r="Z82" s="27">
        <v>615.29998779300001</v>
      </c>
      <c r="AA82" s="27">
        <v>620</v>
      </c>
      <c r="AB82" s="27">
        <v>686.09997558589998</v>
      </c>
      <c r="AC82" s="27">
        <v>706.44122314449999</v>
      </c>
      <c r="AD82" s="27">
        <v>736</v>
      </c>
      <c r="AE82" s="21" t="s">
        <v>52</v>
      </c>
      <c r="AF82" s="21" t="s">
        <v>53</v>
      </c>
      <c r="AG82" s="27">
        <v>518.37739703269995</v>
      </c>
      <c r="AH82" s="27">
        <v>549.64013444730006</v>
      </c>
      <c r="AI82" s="27">
        <v>544.03462848449999</v>
      </c>
      <c r="AJ82" s="27">
        <v>580.01284017379999</v>
      </c>
      <c r="AK82" s="27">
        <v>671.76593291489996</v>
      </c>
      <c r="AL82" s="27">
        <v>682.02927252949996</v>
      </c>
      <c r="AM82" s="28">
        <v>77</v>
      </c>
      <c r="AN82" s="28">
        <v>77</v>
      </c>
      <c r="AO82" s="28">
        <v>69</v>
      </c>
      <c r="AP82" s="28">
        <v>72</v>
      </c>
      <c r="AQ82" s="28">
        <v>77</v>
      </c>
      <c r="AR82" s="28">
        <v>79</v>
      </c>
    </row>
    <row r="83" spans="1:44" x14ac:dyDescent="0.2">
      <c r="A83" s="21" t="s">
        <v>39</v>
      </c>
      <c r="B83" s="21" t="s">
        <v>40</v>
      </c>
      <c r="C83" s="21" t="s">
        <v>41</v>
      </c>
      <c r="D83" s="21">
        <v>2024</v>
      </c>
      <c r="E83" s="21" t="s">
        <v>42</v>
      </c>
      <c r="F83" s="21" t="s">
        <v>43</v>
      </c>
      <c r="G83" s="21" t="s">
        <v>44</v>
      </c>
      <c r="H83" s="21">
        <v>714778</v>
      </c>
      <c r="I83" s="21" t="s">
        <v>45</v>
      </c>
      <c r="J83" s="21">
        <v>2</v>
      </c>
      <c r="K83" s="21" t="s">
        <v>46</v>
      </c>
      <c r="L83" s="21" t="s">
        <v>190</v>
      </c>
      <c r="M83" s="21" t="s">
        <v>190</v>
      </c>
      <c r="N83" s="21" t="s">
        <v>191</v>
      </c>
      <c r="O83" s="21" t="s">
        <v>191</v>
      </c>
      <c r="P83" s="27">
        <v>0.116262013</v>
      </c>
      <c r="Q83" s="27">
        <v>0.13805469519999999</v>
      </c>
      <c r="R83" s="27">
        <v>0.14012691399999999</v>
      </c>
      <c r="S83" s="27">
        <v>0.1533621771</v>
      </c>
      <c r="T83" s="27">
        <v>0.15865773059999999</v>
      </c>
      <c r="U83" s="27">
        <v>0.1586281346</v>
      </c>
      <c r="V83" s="21" t="s">
        <v>49</v>
      </c>
      <c r="W83" s="21" t="s">
        <v>50</v>
      </c>
      <c r="X83" s="21" t="s">
        <v>51</v>
      </c>
      <c r="Y83" s="27">
        <v>393.07000732419999</v>
      </c>
      <c r="Z83" s="27">
        <v>486.67999267580001</v>
      </c>
      <c r="AA83" s="27">
        <v>459.11837768549998</v>
      </c>
      <c r="AB83" s="27">
        <v>587.73944091800001</v>
      </c>
      <c r="AC83" s="27">
        <v>657.58239746089998</v>
      </c>
      <c r="AD83" s="27">
        <v>704.92834472660002</v>
      </c>
      <c r="AE83" s="21" t="s">
        <v>52</v>
      </c>
      <c r="AF83" s="21" t="s">
        <v>53</v>
      </c>
      <c r="AG83" s="27">
        <v>332.99329811839999</v>
      </c>
      <c r="AH83" s="27">
        <v>434.74542810669999</v>
      </c>
      <c r="AI83" s="27">
        <v>402.86499360409999</v>
      </c>
      <c r="AJ83" s="27">
        <v>496.86114930679997</v>
      </c>
      <c r="AK83" s="27">
        <v>625.30531660149995</v>
      </c>
      <c r="AL83" s="27">
        <v>653.23609529800001</v>
      </c>
      <c r="AM83" s="28">
        <v>94</v>
      </c>
      <c r="AN83" s="28">
        <v>88</v>
      </c>
      <c r="AO83" s="28">
        <v>81</v>
      </c>
      <c r="AP83" s="28">
        <v>80</v>
      </c>
      <c r="AQ83" s="28">
        <v>80</v>
      </c>
      <c r="AR83" s="28">
        <v>80</v>
      </c>
    </row>
    <row r="84" spans="1:44" x14ac:dyDescent="0.2">
      <c r="A84" s="21" t="s">
        <v>39</v>
      </c>
      <c r="B84" s="21" t="s">
        <v>40</v>
      </c>
      <c r="C84" s="21" t="s">
        <v>41</v>
      </c>
      <c r="D84" s="21">
        <v>2024</v>
      </c>
      <c r="E84" s="21" t="s">
        <v>42</v>
      </c>
      <c r="F84" s="21" t="s">
        <v>43</v>
      </c>
      <c r="G84" s="21" t="s">
        <v>44</v>
      </c>
      <c r="H84" s="21">
        <v>714778</v>
      </c>
      <c r="I84" s="21" t="s">
        <v>45</v>
      </c>
      <c r="J84" s="21">
        <v>2</v>
      </c>
      <c r="K84" s="21" t="s">
        <v>46</v>
      </c>
      <c r="L84" s="21" t="s">
        <v>192</v>
      </c>
      <c r="M84" s="21" t="s">
        <v>192</v>
      </c>
      <c r="N84" s="21" t="s">
        <v>193</v>
      </c>
      <c r="O84" s="21" t="s">
        <v>193</v>
      </c>
      <c r="P84" s="27">
        <v>2.0112999600000001E-2</v>
      </c>
      <c r="Q84" s="27">
        <v>3.0536673699999999E-2</v>
      </c>
      <c r="R84" s="27">
        <v>4.8294085600000002E-2</v>
      </c>
      <c r="S84" s="27">
        <v>4.9999756700000002E-2</v>
      </c>
      <c r="T84" s="27">
        <v>0.10800641549999999</v>
      </c>
      <c r="U84" s="27">
        <v>0.1480781799</v>
      </c>
      <c r="V84" s="21" t="s">
        <v>49</v>
      </c>
      <c r="W84" s="21" t="s">
        <v>50</v>
      </c>
      <c r="X84" s="21" t="s">
        <v>51</v>
      </c>
      <c r="Y84" s="27">
        <v>68</v>
      </c>
      <c r="Z84" s="27">
        <v>107.6500015259</v>
      </c>
      <c r="AA84" s="27">
        <v>158.23300170900001</v>
      </c>
      <c r="AB84" s="27">
        <v>191.6171875</v>
      </c>
      <c r="AC84" s="27">
        <v>447.64990234380002</v>
      </c>
      <c r="AD84" s="27">
        <v>658.0453491211</v>
      </c>
      <c r="AE84" s="21" t="s">
        <v>52</v>
      </c>
      <c r="AF84" s="21" t="s">
        <v>53</v>
      </c>
      <c r="AG84" s="27">
        <v>57.606899153100002</v>
      </c>
      <c r="AH84" s="27">
        <v>96.162461377900001</v>
      </c>
      <c r="AI84" s="27">
        <v>138.84553596570001</v>
      </c>
      <c r="AJ84" s="27">
        <v>161.9886796426</v>
      </c>
      <c r="AK84" s="27">
        <v>425.67724591249998</v>
      </c>
      <c r="AL84" s="27">
        <v>609.79102004410004</v>
      </c>
      <c r="AM84" s="28">
        <v>119</v>
      </c>
      <c r="AN84" s="28">
        <v>119</v>
      </c>
      <c r="AO84" s="28">
        <v>113</v>
      </c>
      <c r="AP84" s="28">
        <v>112</v>
      </c>
      <c r="AQ84" s="28">
        <v>89</v>
      </c>
      <c r="AR84" s="28">
        <v>81</v>
      </c>
    </row>
    <row r="85" spans="1:44" x14ac:dyDescent="0.2">
      <c r="A85" s="21" t="s">
        <v>39</v>
      </c>
      <c r="B85" s="21" t="s">
        <v>40</v>
      </c>
      <c r="C85" s="21" t="s">
        <v>41</v>
      </c>
      <c r="D85" s="21">
        <v>2024</v>
      </c>
      <c r="E85" s="21" t="s">
        <v>42</v>
      </c>
      <c r="F85" s="21" t="s">
        <v>43</v>
      </c>
      <c r="G85" s="21" t="s">
        <v>44</v>
      </c>
      <c r="H85" s="21">
        <v>714778</v>
      </c>
      <c r="I85" s="21" t="s">
        <v>45</v>
      </c>
      <c r="J85" s="21">
        <v>2</v>
      </c>
      <c r="K85" s="21" t="s">
        <v>46</v>
      </c>
      <c r="L85" s="21" t="s">
        <v>194</v>
      </c>
      <c r="M85" s="21" t="s">
        <v>194</v>
      </c>
      <c r="N85" s="21" t="s">
        <v>195</v>
      </c>
      <c r="O85" s="21" t="s">
        <v>195</v>
      </c>
      <c r="P85" s="27">
        <v>0.1231980347</v>
      </c>
      <c r="Q85" s="27">
        <v>0.13549035849999999</v>
      </c>
      <c r="R85" s="27">
        <v>0.15456378379999999</v>
      </c>
      <c r="S85" s="27">
        <v>0.15672056100000001</v>
      </c>
      <c r="T85" s="27">
        <v>0.15012810109999999</v>
      </c>
      <c r="U85" s="27">
        <v>0.14631950839999999</v>
      </c>
      <c r="V85" s="21" t="s">
        <v>49</v>
      </c>
      <c r="W85" s="21" t="s">
        <v>50</v>
      </c>
      <c r="X85" s="21" t="s">
        <v>51</v>
      </c>
      <c r="Y85" s="27">
        <v>416.51998901370001</v>
      </c>
      <c r="Z85" s="27">
        <v>477.64001464839998</v>
      </c>
      <c r="AA85" s="27">
        <v>506.42001342769998</v>
      </c>
      <c r="AB85" s="27">
        <v>600.60998535160002</v>
      </c>
      <c r="AC85" s="27">
        <v>622.22998046880002</v>
      </c>
      <c r="AD85" s="27">
        <v>650.22998046869998</v>
      </c>
      <c r="AE85" s="21" t="s">
        <v>52</v>
      </c>
      <c r="AF85" s="21" t="s">
        <v>53</v>
      </c>
      <c r="AG85" s="27">
        <v>352.8591912114</v>
      </c>
      <c r="AH85" s="27">
        <v>426.67012364239997</v>
      </c>
      <c r="AI85" s="27">
        <v>444.3710062294</v>
      </c>
      <c r="AJ85" s="27">
        <v>507.74160594160003</v>
      </c>
      <c r="AK85" s="27">
        <v>591.68815412080005</v>
      </c>
      <c r="AL85" s="27">
        <v>602.54875075539996</v>
      </c>
      <c r="AM85" s="28">
        <v>91</v>
      </c>
      <c r="AN85" s="28">
        <v>89</v>
      </c>
      <c r="AO85" s="28">
        <v>77</v>
      </c>
      <c r="AP85" s="28">
        <v>79</v>
      </c>
      <c r="AQ85" s="28">
        <v>81</v>
      </c>
      <c r="AR85" s="28">
        <v>82</v>
      </c>
    </row>
    <row r="86" spans="1:44" x14ac:dyDescent="0.2">
      <c r="A86" s="21" t="s">
        <v>39</v>
      </c>
      <c r="B86" s="21" t="s">
        <v>40</v>
      </c>
      <c r="C86" s="21" t="s">
        <v>41</v>
      </c>
      <c r="D86" s="21">
        <v>2024</v>
      </c>
      <c r="E86" s="21" t="s">
        <v>42</v>
      </c>
      <c r="F86" s="21" t="s">
        <v>43</v>
      </c>
      <c r="G86" s="21" t="s">
        <v>44</v>
      </c>
      <c r="H86" s="21">
        <v>714778</v>
      </c>
      <c r="I86" s="21" t="s">
        <v>45</v>
      </c>
      <c r="J86" s="21">
        <v>2</v>
      </c>
      <c r="K86" s="21" t="s">
        <v>46</v>
      </c>
      <c r="L86" s="21" t="s">
        <v>196</v>
      </c>
      <c r="M86" s="21" t="s">
        <v>196</v>
      </c>
      <c r="N86" s="21" t="s">
        <v>196</v>
      </c>
      <c r="O86" s="21" t="s">
        <v>196</v>
      </c>
      <c r="P86" s="27">
        <v>0.15275793130000001</v>
      </c>
      <c r="Q86" s="27">
        <v>0.15066281579999999</v>
      </c>
      <c r="R86" s="27">
        <v>0.14259410450000001</v>
      </c>
      <c r="S86" s="27">
        <v>0.1514079149</v>
      </c>
      <c r="T86" s="27">
        <v>0.14923937400000001</v>
      </c>
      <c r="U86" s="27">
        <v>0.14489664739999999</v>
      </c>
      <c r="V86" s="21" t="s">
        <v>49</v>
      </c>
      <c r="W86" s="21" t="s">
        <v>50</v>
      </c>
      <c r="X86" s="21" t="s">
        <v>51</v>
      </c>
      <c r="Y86" s="27">
        <v>516.458984375</v>
      </c>
      <c r="Z86" s="27">
        <v>531.12701416020002</v>
      </c>
      <c r="AA86" s="27">
        <v>467.2019958496</v>
      </c>
      <c r="AB86" s="27">
        <v>580.25</v>
      </c>
      <c r="AC86" s="27">
        <v>618.54650878910002</v>
      </c>
      <c r="AD86" s="27">
        <v>643.90692138669999</v>
      </c>
      <c r="AE86" s="21" t="s">
        <v>52</v>
      </c>
      <c r="AF86" s="21" t="s">
        <v>53</v>
      </c>
      <c r="AG86" s="27">
        <v>437.5235386709</v>
      </c>
      <c r="AH86" s="27">
        <v>474.44942184820002</v>
      </c>
      <c r="AI86" s="27">
        <v>409.95816812779998</v>
      </c>
      <c r="AJ86" s="27">
        <v>490.52975147450002</v>
      </c>
      <c r="AK86" s="27">
        <v>588.18548368170002</v>
      </c>
      <c r="AL86" s="27">
        <v>596.68936028550002</v>
      </c>
      <c r="AM86" s="28">
        <v>84</v>
      </c>
      <c r="AN86" s="28">
        <v>86</v>
      </c>
      <c r="AO86" s="28">
        <v>78</v>
      </c>
      <c r="AP86" s="28">
        <v>81</v>
      </c>
      <c r="AQ86" s="28">
        <v>82</v>
      </c>
      <c r="AR86" s="28">
        <v>83</v>
      </c>
    </row>
    <row r="87" spans="1:44" x14ac:dyDescent="0.2">
      <c r="A87" s="21" t="s">
        <v>39</v>
      </c>
      <c r="B87" s="21" t="s">
        <v>40</v>
      </c>
      <c r="C87" s="21" t="s">
        <v>41</v>
      </c>
      <c r="D87" s="21">
        <v>2024</v>
      </c>
      <c r="E87" s="21" t="s">
        <v>42</v>
      </c>
      <c r="F87" s="21" t="s">
        <v>43</v>
      </c>
      <c r="G87" s="21" t="s">
        <v>44</v>
      </c>
      <c r="H87" s="21">
        <v>714778</v>
      </c>
      <c r="I87" s="21" t="s">
        <v>45</v>
      </c>
      <c r="J87" s="21">
        <v>2</v>
      </c>
      <c r="K87" s="21" t="s">
        <v>46</v>
      </c>
      <c r="L87" s="21" t="s">
        <v>197</v>
      </c>
      <c r="M87" s="21" t="s">
        <v>197</v>
      </c>
      <c r="N87" s="21" t="s">
        <v>81</v>
      </c>
      <c r="O87" s="21" t="s">
        <v>81</v>
      </c>
      <c r="P87" s="27">
        <v>0.133485242</v>
      </c>
      <c r="Q87" s="27">
        <v>0.1337066579</v>
      </c>
      <c r="R87" s="27">
        <v>0.1023853012</v>
      </c>
      <c r="S87" s="27">
        <v>0.1201843532</v>
      </c>
      <c r="T87" s="27">
        <v>0.13382210259999999</v>
      </c>
      <c r="U87" s="27">
        <v>0.14017643020000001</v>
      </c>
      <c r="V87" s="21" t="s">
        <v>49</v>
      </c>
      <c r="W87" s="21" t="s">
        <v>50</v>
      </c>
      <c r="X87" s="21" t="s">
        <v>51</v>
      </c>
      <c r="Y87" s="27">
        <v>451.29998779300001</v>
      </c>
      <c r="Z87" s="27">
        <v>471.3519897461</v>
      </c>
      <c r="AA87" s="27">
        <v>335.45999145510001</v>
      </c>
      <c r="AB87" s="27">
        <v>460.5899963379</v>
      </c>
      <c r="AC87" s="27">
        <v>554.64715576169999</v>
      </c>
      <c r="AD87" s="27">
        <v>622.93072509770002</v>
      </c>
      <c r="AE87" s="21" t="s">
        <v>52</v>
      </c>
      <c r="AF87" s="21" t="s">
        <v>53</v>
      </c>
      <c r="AG87" s="27">
        <v>382.32342477359998</v>
      </c>
      <c r="AH87" s="27">
        <v>421.05310605530002</v>
      </c>
      <c r="AI87" s="27">
        <v>294.35782552040001</v>
      </c>
      <c r="AJ87" s="27">
        <v>389.37198868640002</v>
      </c>
      <c r="AK87" s="27">
        <v>527.42259627819999</v>
      </c>
      <c r="AL87" s="27">
        <v>577.25134412320006</v>
      </c>
      <c r="AM87" s="28">
        <v>89</v>
      </c>
      <c r="AN87" s="28">
        <v>90</v>
      </c>
      <c r="AO87" s="28">
        <v>91</v>
      </c>
      <c r="AP87" s="28">
        <v>88</v>
      </c>
      <c r="AQ87" s="28">
        <v>86</v>
      </c>
      <c r="AR87" s="28">
        <v>84</v>
      </c>
    </row>
    <row r="88" spans="1:44" x14ac:dyDescent="0.2">
      <c r="A88" s="21" t="s">
        <v>39</v>
      </c>
      <c r="B88" s="21" t="s">
        <v>40</v>
      </c>
      <c r="C88" s="21" t="s">
        <v>41</v>
      </c>
      <c r="D88" s="21">
        <v>2024</v>
      </c>
      <c r="E88" s="21" t="s">
        <v>42</v>
      </c>
      <c r="F88" s="21" t="s">
        <v>43</v>
      </c>
      <c r="G88" s="21" t="s">
        <v>44</v>
      </c>
      <c r="H88" s="21">
        <v>714778</v>
      </c>
      <c r="I88" s="21" t="s">
        <v>45</v>
      </c>
      <c r="J88" s="21">
        <v>2</v>
      </c>
      <c r="K88" s="21" t="s">
        <v>46</v>
      </c>
      <c r="L88" s="21" t="s">
        <v>198</v>
      </c>
      <c r="M88" s="21" t="s">
        <v>198</v>
      </c>
      <c r="N88" s="21" t="s">
        <v>199</v>
      </c>
      <c r="O88" s="21" t="s">
        <v>199</v>
      </c>
      <c r="P88" s="27">
        <v>0.13647321160000001</v>
      </c>
      <c r="Q88" s="27">
        <v>0.12856747499999999</v>
      </c>
      <c r="R88" s="27">
        <v>9.8690756099999999E-2</v>
      </c>
      <c r="S88" s="27">
        <v>0.12151773859999999</v>
      </c>
      <c r="T88" s="27">
        <v>0.1325594769</v>
      </c>
      <c r="U88" s="27">
        <v>0.13537831049999999</v>
      </c>
      <c r="V88" s="21" t="s">
        <v>49</v>
      </c>
      <c r="W88" s="21" t="s">
        <v>50</v>
      </c>
      <c r="X88" s="21" t="s">
        <v>51</v>
      </c>
      <c r="Y88" s="27">
        <v>461.40200805659998</v>
      </c>
      <c r="Z88" s="27">
        <v>453.23498535160002</v>
      </c>
      <c r="AA88" s="27">
        <v>323.35501098629999</v>
      </c>
      <c r="AB88" s="27">
        <v>465.70001220699999</v>
      </c>
      <c r="AC88" s="27">
        <v>549.41400146479998</v>
      </c>
      <c r="AD88" s="27">
        <v>601.60833740229998</v>
      </c>
      <c r="AE88" s="21" t="s">
        <v>52</v>
      </c>
      <c r="AF88" s="21" t="s">
        <v>53</v>
      </c>
      <c r="AG88" s="27">
        <v>390.88145510549998</v>
      </c>
      <c r="AH88" s="27">
        <v>404.86940228679998</v>
      </c>
      <c r="AI88" s="27">
        <v>283.73600527510001</v>
      </c>
      <c r="AJ88" s="27">
        <v>393.6918763457</v>
      </c>
      <c r="AK88" s="27">
        <v>522.44630856569995</v>
      </c>
      <c r="AL88" s="27">
        <v>557.49252269869999</v>
      </c>
      <c r="AM88" s="28">
        <v>88</v>
      </c>
      <c r="AN88" s="28">
        <v>91</v>
      </c>
      <c r="AO88" s="28">
        <v>92</v>
      </c>
      <c r="AP88" s="28">
        <v>87</v>
      </c>
      <c r="AQ88" s="28">
        <v>87</v>
      </c>
      <c r="AR88" s="28">
        <v>85</v>
      </c>
    </row>
    <row r="89" spans="1:44" x14ac:dyDescent="0.2">
      <c r="A89" s="21" t="s">
        <v>39</v>
      </c>
      <c r="B89" s="21" t="s">
        <v>40</v>
      </c>
      <c r="C89" s="21" t="s">
        <v>41</v>
      </c>
      <c r="D89" s="21">
        <v>2024</v>
      </c>
      <c r="E89" s="21" t="s">
        <v>42</v>
      </c>
      <c r="F89" s="21" t="s">
        <v>43</v>
      </c>
      <c r="G89" s="21" t="s">
        <v>44</v>
      </c>
      <c r="H89" s="21">
        <v>714778</v>
      </c>
      <c r="I89" s="21" t="s">
        <v>45</v>
      </c>
      <c r="J89" s="21">
        <v>2</v>
      </c>
      <c r="K89" s="21" t="s">
        <v>46</v>
      </c>
      <c r="L89" s="21" t="s">
        <v>200</v>
      </c>
      <c r="M89" s="21" t="s">
        <v>200</v>
      </c>
      <c r="N89" s="21" t="s">
        <v>201</v>
      </c>
      <c r="O89" s="21" t="s">
        <v>201</v>
      </c>
      <c r="P89" s="27">
        <v>0.16269049760000001</v>
      </c>
      <c r="Q89" s="27">
        <v>0.15783645230000001</v>
      </c>
      <c r="R89" s="27">
        <v>0.1674564009</v>
      </c>
      <c r="S89" s="27">
        <v>0.1492489367</v>
      </c>
      <c r="T89" s="27">
        <v>0.14090117050000001</v>
      </c>
      <c r="U89" s="27">
        <v>0.132990101</v>
      </c>
      <c r="V89" s="21" t="s">
        <v>49</v>
      </c>
      <c r="W89" s="21" t="s">
        <v>50</v>
      </c>
      <c r="X89" s="21" t="s">
        <v>51</v>
      </c>
      <c r="Y89" s="27">
        <v>550.03997802729998</v>
      </c>
      <c r="Z89" s="27">
        <v>556.416015625</v>
      </c>
      <c r="AA89" s="27">
        <v>548.66198730470001</v>
      </c>
      <c r="AB89" s="27">
        <v>571.9760131836</v>
      </c>
      <c r="AC89" s="27">
        <v>583.98748779300001</v>
      </c>
      <c r="AD89" s="27">
        <v>590.99536132809999</v>
      </c>
      <c r="AE89" s="21" t="s">
        <v>52</v>
      </c>
      <c r="AF89" s="21" t="s">
        <v>53</v>
      </c>
      <c r="AG89" s="27">
        <v>465.97202271200001</v>
      </c>
      <c r="AH89" s="27">
        <v>497.03978498959998</v>
      </c>
      <c r="AI89" s="27">
        <v>481.4372910111</v>
      </c>
      <c r="AJ89" s="27">
        <v>483.535116926</v>
      </c>
      <c r="AK89" s="27">
        <v>555.32277377820003</v>
      </c>
      <c r="AL89" s="27">
        <v>547.65779396050004</v>
      </c>
      <c r="AM89" s="28">
        <v>83</v>
      </c>
      <c r="AN89" s="28">
        <v>83</v>
      </c>
      <c r="AO89" s="28">
        <v>73</v>
      </c>
      <c r="AP89" s="28">
        <v>83</v>
      </c>
      <c r="AQ89" s="28">
        <v>83</v>
      </c>
      <c r="AR89" s="28">
        <v>86</v>
      </c>
    </row>
    <row r="90" spans="1:44" x14ac:dyDescent="0.2">
      <c r="A90" s="21" t="s">
        <v>39</v>
      </c>
      <c r="B90" s="21" t="s">
        <v>40</v>
      </c>
      <c r="C90" s="21" t="s">
        <v>41</v>
      </c>
      <c r="D90" s="21">
        <v>2024</v>
      </c>
      <c r="E90" s="21" t="s">
        <v>42</v>
      </c>
      <c r="F90" s="21" t="s">
        <v>43</v>
      </c>
      <c r="G90" s="21" t="s">
        <v>44</v>
      </c>
      <c r="H90" s="21">
        <v>714778</v>
      </c>
      <c r="I90" s="21" t="s">
        <v>45</v>
      </c>
      <c r="J90" s="21">
        <v>2</v>
      </c>
      <c r="K90" s="21" t="s">
        <v>46</v>
      </c>
      <c r="L90" s="21" t="s">
        <v>202</v>
      </c>
      <c r="M90" s="21" t="s">
        <v>202</v>
      </c>
      <c r="N90" s="21" t="s">
        <v>203</v>
      </c>
      <c r="O90" s="21" t="s">
        <v>203</v>
      </c>
      <c r="P90" s="27">
        <v>0.1695404519</v>
      </c>
      <c r="Q90" s="27">
        <v>0.1599619582</v>
      </c>
      <c r="R90" s="27">
        <v>0.1327441016</v>
      </c>
      <c r="S90" s="27">
        <v>0.13723841110000001</v>
      </c>
      <c r="T90" s="27">
        <v>0.1364148882</v>
      </c>
      <c r="U90" s="27">
        <v>0.13257256980000001</v>
      </c>
      <c r="V90" s="21" t="s">
        <v>49</v>
      </c>
      <c r="W90" s="21" t="s">
        <v>50</v>
      </c>
      <c r="X90" s="21" t="s">
        <v>51</v>
      </c>
      <c r="Y90" s="27">
        <v>573.19897460940001</v>
      </c>
      <c r="Z90" s="27">
        <v>563.90899658199999</v>
      </c>
      <c r="AA90" s="27">
        <v>434.9289855957</v>
      </c>
      <c r="AB90" s="27">
        <v>525.94732666020002</v>
      </c>
      <c r="AC90" s="27">
        <v>565.39337158199999</v>
      </c>
      <c r="AD90" s="27">
        <v>589.13989257809999</v>
      </c>
      <c r="AE90" s="21" t="s">
        <v>52</v>
      </c>
      <c r="AF90" s="21" t="s">
        <v>53</v>
      </c>
      <c r="AG90" s="27">
        <v>485.59140477950001</v>
      </c>
      <c r="AH90" s="27">
        <v>503.73317543709999</v>
      </c>
      <c r="AI90" s="27">
        <v>381.63940176720001</v>
      </c>
      <c r="AJ90" s="27">
        <v>444.62354405050002</v>
      </c>
      <c r="AK90" s="27">
        <v>537.64133983299996</v>
      </c>
      <c r="AL90" s="27">
        <v>545.93838634940005</v>
      </c>
      <c r="AM90" s="28">
        <v>81</v>
      </c>
      <c r="AN90" s="28">
        <v>81</v>
      </c>
      <c r="AO90" s="28">
        <v>84</v>
      </c>
      <c r="AP90" s="28">
        <v>85</v>
      </c>
      <c r="AQ90" s="28">
        <v>84</v>
      </c>
      <c r="AR90" s="28">
        <v>87</v>
      </c>
    </row>
    <row r="91" spans="1:44" x14ac:dyDescent="0.2">
      <c r="A91" s="21" t="s">
        <v>39</v>
      </c>
      <c r="B91" s="21" t="s">
        <v>40</v>
      </c>
      <c r="C91" s="21" t="s">
        <v>41</v>
      </c>
      <c r="D91" s="21">
        <v>2024</v>
      </c>
      <c r="E91" s="21" t="s">
        <v>42</v>
      </c>
      <c r="F91" s="21" t="s">
        <v>43</v>
      </c>
      <c r="G91" s="21" t="s">
        <v>44</v>
      </c>
      <c r="H91" s="21">
        <v>714778</v>
      </c>
      <c r="I91" s="21" t="s">
        <v>45</v>
      </c>
      <c r="J91" s="21">
        <v>2</v>
      </c>
      <c r="K91" s="21" t="s">
        <v>46</v>
      </c>
      <c r="L91" s="21" t="s">
        <v>204</v>
      </c>
      <c r="M91" s="21" t="s">
        <v>204</v>
      </c>
      <c r="N91" s="21" t="s">
        <v>205</v>
      </c>
      <c r="O91" s="21" t="s">
        <v>205</v>
      </c>
      <c r="P91" s="27">
        <v>0.177100338</v>
      </c>
      <c r="Q91" s="27">
        <v>0.15949741670000001</v>
      </c>
      <c r="R91" s="27">
        <v>0.1201942295</v>
      </c>
      <c r="S91" s="27">
        <v>0.14103833439999999</v>
      </c>
      <c r="T91" s="27">
        <v>0.13458433140000001</v>
      </c>
      <c r="U91" s="27">
        <v>0.1306680509</v>
      </c>
      <c r="V91" s="21" t="s">
        <v>49</v>
      </c>
      <c r="W91" s="21" t="s">
        <v>50</v>
      </c>
      <c r="X91" s="21" t="s">
        <v>51</v>
      </c>
      <c r="Y91" s="27">
        <v>598.75817871089998</v>
      </c>
      <c r="Z91" s="27">
        <v>562.27136230470001</v>
      </c>
      <c r="AA91" s="27">
        <v>393.8099975586</v>
      </c>
      <c r="AB91" s="27">
        <v>540.51000976559999</v>
      </c>
      <c r="AC91" s="27">
        <v>557.80633544919999</v>
      </c>
      <c r="AD91" s="27">
        <v>580.67639160160002</v>
      </c>
      <c r="AE91" s="21" t="s">
        <v>52</v>
      </c>
      <c r="AF91" s="21" t="s">
        <v>53</v>
      </c>
      <c r="AG91" s="27">
        <v>507.24414732529999</v>
      </c>
      <c r="AH91" s="27">
        <v>502.27029628510002</v>
      </c>
      <c r="AI91" s="27">
        <v>345.55850921820002</v>
      </c>
      <c r="AJ91" s="27">
        <v>456.93449506209998</v>
      </c>
      <c r="AK91" s="27">
        <v>530.42670931759994</v>
      </c>
      <c r="AL91" s="27">
        <v>538.09551214550004</v>
      </c>
      <c r="AM91" s="28">
        <v>78</v>
      </c>
      <c r="AN91" s="28">
        <v>82</v>
      </c>
      <c r="AO91" s="28">
        <v>85</v>
      </c>
      <c r="AP91" s="28">
        <v>84</v>
      </c>
      <c r="AQ91" s="28">
        <v>85</v>
      </c>
      <c r="AR91" s="28">
        <v>88</v>
      </c>
    </row>
    <row r="92" spans="1:44" x14ac:dyDescent="0.2">
      <c r="A92" s="21" t="s">
        <v>39</v>
      </c>
      <c r="B92" s="21" t="s">
        <v>40</v>
      </c>
      <c r="C92" s="21" t="s">
        <v>41</v>
      </c>
      <c r="D92" s="21">
        <v>2024</v>
      </c>
      <c r="E92" s="21" t="s">
        <v>42</v>
      </c>
      <c r="F92" s="21" t="s">
        <v>43</v>
      </c>
      <c r="G92" s="21" t="s">
        <v>44</v>
      </c>
      <c r="H92" s="21">
        <v>714778</v>
      </c>
      <c r="I92" s="21" t="s">
        <v>45</v>
      </c>
      <c r="J92" s="21">
        <v>2</v>
      </c>
      <c r="K92" s="21" t="s">
        <v>46</v>
      </c>
      <c r="L92" s="21" t="s">
        <v>206</v>
      </c>
      <c r="M92" s="21" t="s">
        <v>206</v>
      </c>
      <c r="N92" s="21" t="s">
        <v>207</v>
      </c>
      <c r="O92" s="21" t="s">
        <v>207</v>
      </c>
      <c r="P92" s="27">
        <v>0.1812062992</v>
      </c>
      <c r="Q92" s="27">
        <v>0.1614259629</v>
      </c>
      <c r="R92" s="27">
        <v>0.1036488696</v>
      </c>
      <c r="S92" s="27">
        <v>0.1237356916</v>
      </c>
      <c r="T92" s="27">
        <v>0.12848498380000001</v>
      </c>
      <c r="U92" s="27">
        <v>0.1242668588</v>
      </c>
      <c r="V92" s="21" t="s">
        <v>49</v>
      </c>
      <c r="W92" s="21" t="s">
        <v>50</v>
      </c>
      <c r="X92" s="21" t="s">
        <v>51</v>
      </c>
      <c r="Y92" s="27">
        <v>612.64001464839998</v>
      </c>
      <c r="Z92" s="27">
        <v>569.07000732419999</v>
      </c>
      <c r="AA92" s="27">
        <v>339.60000610349999</v>
      </c>
      <c r="AB92" s="27">
        <v>474.20001220699999</v>
      </c>
      <c r="AC92" s="27">
        <v>532.52661132809999</v>
      </c>
      <c r="AD92" s="27">
        <v>552.23010253910002</v>
      </c>
      <c r="AE92" s="21" t="s">
        <v>52</v>
      </c>
      <c r="AF92" s="21" t="s">
        <v>53</v>
      </c>
      <c r="AG92" s="27">
        <v>519.00428736809999</v>
      </c>
      <c r="AH92" s="27">
        <v>508.34344472769999</v>
      </c>
      <c r="AI92" s="27">
        <v>297.990585732</v>
      </c>
      <c r="AJ92" s="27">
        <v>400.87757714280002</v>
      </c>
      <c r="AK92" s="27">
        <v>506.38782695679998</v>
      </c>
      <c r="AL92" s="27">
        <v>511.73518356469998</v>
      </c>
      <c r="AM92" s="28">
        <v>76</v>
      </c>
      <c r="AN92" s="28">
        <v>79</v>
      </c>
      <c r="AO92" s="28">
        <v>89</v>
      </c>
      <c r="AP92" s="28">
        <v>86</v>
      </c>
      <c r="AQ92" s="28">
        <v>88</v>
      </c>
      <c r="AR92" s="28">
        <v>89</v>
      </c>
    </row>
    <row r="93" spans="1:44" x14ac:dyDescent="0.2">
      <c r="A93" s="21" t="s">
        <v>39</v>
      </c>
      <c r="B93" s="21" t="s">
        <v>40</v>
      </c>
      <c r="C93" s="21" t="s">
        <v>41</v>
      </c>
      <c r="D93" s="21">
        <v>2024</v>
      </c>
      <c r="E93" s="21" t="s">
        <v>42</v>
      </c>
      <c r="F93" s="21" t="s">
        <v>43</v>
      </c>
      <c r="G93" s="21" t="s">
        <v>44</v>
      </c>
      <c r="H93" s="21">
        <v>714778</v>
      </c>
      <c r="I93" s="21" t="s">
        <v>45</v>
      </c>
      <c r="J93" s="21">
        <v>2</v>
      </c>
      <c r="K93" s="21" t="s">
        <v>46</v>
      </c>
      <c r="L93" s="21" t="s">
        <v>208</v>
      </c>
      <c r="M93" s="21" t="s">
        <v>208</v>
      </c>
      <c r="N93" s="21" t="s">
        <v>209</v>
      </c>
      <c r="O93" s="21" t="s">
        <v>209</v>
      </c>
      <c r="P93" s="27">
        <v>9.1265692600000003E-2</v>
      </c>
      <c r="Q93" s="27">
        <v>9.9955479999999999E-2</v>
      </c>
      <c r="R93" s="27">
        <v>9.3117279400000003E-2</v>
      </c>
      <c r="S93" s="27">
        <v>9.0047781899999998E-2</v>
      </c>
      <c r="T93" s="27">
        <v>9.3817096700000005E-2</v>
      </c>
      <c r="U93" s="27">
        <v>9.6337080399999997E-2</v>
      </c>
      <c r="V93" s="21" t="s">
        <v>49</v>
      </c>
      <c r="W93" s="21" t="s">
        <v>50</v>
      </c>
      <c r="X93" s="21" t="s">
        <v>51</v>
      </c>
      <c r="Y93" s="27">
        <v>308.5599975586</v>
      </c>
      <c r="Z93" s="27">
        <v>352.36999511720001</v>
      </c>
      <c r="AA93" s="27">
        <v>305.09381103520002</v>
      </c>
      <c r="AB93" s="27">
        <v>345.09573364260001</v>
      </c>
      <c r="AC93" s="27">
        <v>388.8399963379</v>
      </c>
      <c r="AD93" s="27">
        <v>428.11282348629999</v>
      </c>
      <c r="AE93" s="21" t="s">
        <v>52</v>
      </c>
      <c r="AF93" s="21" t="s">
        <v>53</v>
      </c>
      <c r="AG93" s="27">
        <v>261.39977444189998</v>
      </c>
      <c r="AH93" s="27">
        <v>314.76791050510002</v>
      </c>
      <c r="AI93" s="27">
        <v>267.71225506360003</v>
      </c>
      <c r="AJ93" s="27">
        <v>291.73584568479998</v>
      </c>
      <c r="AK93" s="27">
        <v>369.75399274099999</v>
      </c>
      <c r="AL93" s="27">
        <v>396.71939886270002</v>
      </c>
      <c r="AM93" s="28">
        <v>106</v>
      </c>
      <c r="AN93" s="28">
        <v>99</v>
      </c>
      <c r="AO93" s="28">
        <v>95</v>
      </c>
      <c r="AP93" s="28">
        <v>94</v>
      </c>
      <c r="AQ93" s="28">
        <v>94</v>
      </c>
      <c r="AR93" s="28">
        <v>90</v>
      </c>
    </row>
    <row r="94" spans="1:44" x14ac:dyDescent="0.2">
      <c r="A94" s="21" t="s">
        <v>39</v>
      </c>
      <c r="B94" s="21" t="s">
        <v>40</v>
      </c>
      <c r="C94" s="21" t="s">
        <v>41</v>
      </c>
      <c r="D94" s="21">
        <v>2024</v>
      </c>
      <c r="E94" s="21" t="s">
        <v>42</v>
      </c>
      <c r="F94" s="21" t="s">
        <v>43</v>
      </c>
      <c r="G94" s="21" t="s">
        <v>44</v>
      </c>
      <c r="H94" s="21">
        <v>714778</v>
      </c>
      <c r="I94" s="21" t="s">
        <v>45</v>
      </c>
      <c r="J94" s="21">
        <v>2</v>
      </c>
      <c r="K94" s="21" t="s">
        <v>46</v>
      </c>
      <c r="L94" s="21" t="s">
        <v>210</v>
      </c>
      <c r="M94" s="21" t="s">
        <v>210</v>
      </c>
      <c r="N94" s="21" t="s">
        <v>211</v>
      </c>
      <c r="O94" s="21" t="s">
        <v>211</v>
      </c>
      <c r="P94" s="27">
        <v>0.1099687122</v>
      </c>
      <c r="Q94" s="27">
        <v>0.10967304059999999</v>
      </c>
      <c r="R94" s="27">
        <v>0.11955481699999999</v>
      </c>
      <c r="S94" s="27">
        <v>0.1013082688</v>
      </c>
      <c r="T94" s="27">
        <v>9.8264811100000002E-2</v>
      </c>
      <c r="U94" s="27">
        <v>9.5588690099999998E-2</v>
      </c>
      <c r="V94" s="21" t="s">
        <v>49</v>
      </c>
      <c r="W94" s="21" t="s">
        <v>50</v>
      </c>
      <c r="X94" s="21" t="s">
        <v>51</v>
      </c>
      <c r="Y94" s="27">
        <v>371.79299926760001</v>
      </c>
      <c r="Z94" s="27">
        <v>386.62701416020002</v>
      </c>
      <c r="AA94" s="27">
        <v>391.7149963379</v>
      </c>
      <c r="AB94" s="27">
        <v>388.25</v>
      </c>
      <c r="AC94" s="27">
        <v>407.2742614746</v>
      </c>
      <c r="AD94" s="27">
        <v>424.78704833979998</v>
      </c>
      <c r="AE94" s="21" t="s">
        <v>52</v>
      </c>
      <c r="AF94" s="21" t="s">
        <v>53</v>
      </c>
      <c r="AG94" s="27">
        <v>314.9682619802</v>
      </c>
      <c r="AH94" s="27">
        <v>345.36929670059999</v>
      </c>
      <c r="AI94" s="27">
        <v>343.72019758789997</v>
      </c>
      <c r="AJ94" s="27">
        <v>328.21745111590002</v>
      </c>
      <c r="AK94" s="27">
        <v>387.28342181660003</v>
      </c>
      <c r="AL94" s="27">
        <v>393.63750211849998</v>
      </c>
      <c r="AM94" s="28">
        <v>98</v>
      </c>
      <c r="AN94" s="28">
        <v>94</v>
      </c>
      <c r="AO94" s="28">
        <v>86</v>
      </c>
      <c r="AP94" s="28">
        <v>91</v>
      </c>
      <c r="AQ94" s="28">
        <v>91</v>
      </c>
      <c r="AR94" s="28">
        <v>91</v>
      </c>
    </row>
    <row r="95" spans="1:44" x14ac:dyDescent="0.2">
      <c r="A95" s="21" t="s">
        <v>39</v>
      </c>
      <c r="B95" s="21" t="s">
        <v>40</v>
      </c>
      <c r="C95" s="21" t="s">
        <v>41</v>
      </c>
      <c r="D95" s="21">
        <v>2024</v>
      </c>
      <c r="E95" s="21" t="s">
        <v>42</v>
      </c>
      <c r="F95" s="21" t="s">
        <v>43</v>
      </c>
      <c r="G95" s="21" t="s">
        <v>44</v>
      </c>
      <c r="H95" s="21">
        <v>714778</v>
      </c>
      <c r="I95" s="21" t="s">
        <v>45</v>
      </c>
      <c r="J95" s="21">
        <v>2</v>
      </c>
      <c r="K95" s="21" t="s">
        <v>46</v>
      </c>
      <c r="L95" s="21" t="s">
        <v>212</v>
      </c>
      <c r="M95" s="21" t="s">
        <v>212</v>
      </c>
      <c r="N95" s="21" t="s">
        <v>213</v>
      </c>
      <c r="O95" s="21" t="s">
        <v>213</v>
      </c>
      <c r="P95" s="27">
        <v>0.16829878849999999</v>
      </c>
      <c r="Q95" s="27">
        <v>0.1557157596</v>
      </c>
      <c r="R95" s="27">
        <v>9.4849698100000004E-2</v>
      </c>
      <c r="S95" s="27">
        <v>9.1016965800000002E-2</v>
      </c>
      <c r="T95" s="27">
        <v>9.5436177799999994E-2</v>
      </c>
      <c r="U95" s="27">
        <v>9.1733373600000001E-2</v>
      </c>
      <c r="V95" s="21" t="s">
        <v>49</v>
      </c>
      <c r="W95" s="21" t="s">
        <v>50</v>
      </c>
      <c r="X95" s="21" t="s">
        <v>51</v>
      </c>
      <c r="Y95" s="27">
        <v>569.00103759770002</v>
      </c>
      <c r="Z95" s="27">
        <v>548.9400024414</v>
      </c>
      <c r="AA95" s="27">
        <v>310.76998901370001</v>
      </c>
      <c r="AB95" s="27">
        <v>348.8099975586</v>
      </c>
      <c r="AC95" s="27">
        <v>395.55053710940001</v>
      </c>
      <c r="AD95" s="27">
        <v>407.65438842769998</v>
      </c>
      <c r="AE95" s="21" t="s">
        <v>52</v>
      </c>
      <c r="AF95" s="21" t="s">
        <v>53</v>
      </c>
      <c r="AG95" s="27">
        <v>482.03507927819999</v>
      </c>
      <c r="AH95" s="27">
        <v>490.3615516516</v>
      </c>
      <c r="AI95" s="27">
        <v>272.69296051160001</v>
      </c>
      <c r="AJ95" s="27">
        <v>294.87579735330002</v>
      </c>
      <c r="AK95" s="27">
        <v>376.13515020189999</v>
      </c>
      <c r="AL95" s="27">
        <v>377.76117660710003</v>
      </c>
      <c r="AM95" s="28">
        <v>82</v>
      </c>
      <c r="AN95" s="28">
        <v>84</v>
      </c>
      <c r="AO95" s="28">
        <v>94</v>
      </c>
      <c r="AP95" s="28">
        <v>93</v>
      </c>
      <c r="AQ95" s="28">
        <v>93</v>
      </c>
      <c r="AR95" s="28">
        <v>92</v>
      </c>
    </row>
    <row r="96" spans="1:44" x14ac:dyDescent="0.2">
      <c r="A96" s="21" t="s">
        <v>39</v>
      </c>
      <c r="B96" s="21" t="s">
        <v>40</v>
      </c>
      <c r="C96" s="21" t="s">
        <v>41</v>
      </c>
      <c r="D96" s="21">
        <v>2024</v>
      </c>
      <c r="E96" s="21" t="s">
        <v>42</v>
      </c>
      <c r="F96" s="21" t="s">
        <v>43</v>
      </c>
      <c r="G96" s="21" t="s">
        <v>44</v>
      </c>
      <c r="H96" s="21">
        <v>714778</v>
      </c>
      <c r="I96" s="21" t="s">
        <v>45</v>
      </c>
      <c r="J96" s="21">
        <v>2</v>
      </c>
      <c r="K96" s="21" t="s">
        <v>46</v>
      </c>
      <c r="L96" s="21" t="s">
        <v>214</v>
      </c>
      <c r="M96" s="21" t="s">
        <v>214</v>
      </c>
      <c r="N96" s="21" t="s">
        <v>176</v>
      </c>
      <c r="O96" s="21" t="s">
        <v>176</v>
      </c>
      <c r="P96" s="27">
        <v>0.1045583177</v>
      </c>
      <c r="Q96" s="27">
        <v>9.3329602999999997E-2</v>
      </c>
      <c r="R96" s="27">
        <v>9.5769906799999999E-2</v>
      </c>
      <c r="S96" s="27">
        <v>9.3545464800000006E-2</v>
      </c>
      <c r="T96" s="27">
        <v>9.3503111799999997E-2</v>
      </c>
      <c r="U96" s="27">
        <v>9.1654324199999998E-2</v>
      </c>
      <c r="V96" s="21" t="s">
        <v>49</v>
      </c>
      <c r="W96" s="21" t="s">
        <v>50</v>
      </c>
      <c r="X96" s="21" t="s">
        <v>51</v>
      </c>
      <c r="Y96" s="27">
        <v>353.50100708010001</v>
      </c>
      <c r="Z96" s="27">
        <v>329.0119934082</v>
      </c>
      <c r="AA96" s="27">
        <v>313.7850036621</v>
      </c>
      <c r="AB96" s="27">
        <v>358.50012207029999</v>
      </c>
      <c r="AC96" s="27">
        <v>387.5386352539</v>
      </c>
      <c r="AD96" s="27">
        <v>407.30310058589998</v>
      </c>
      <c r="AE96" s="21" t="s">
        <v>52</v>
      </c>
      <c r="AF96" s="21" t="s">
        <v>53</v>
      </c>
      <c r="AG96" s="27">
        <v>299.47201272640001</v>
      </c>
      <c r="AH96" s="27">
        <v>293.9024863958</v>
      </c>
      <c r="AI96" s="27">
        <v>275.338561115</v>
      </c>
      <c r="AJ96" s="27">
        <v>303.06760152129999</v>
      </c>
      <c r="AK96" s="27">
        <v>368.51650827100002</v>
      </c>
      <c r="AL96" s="27">
        <v>377.43564863</v>
      </c>
      <c r="AM96" s="28">
        <v>99</v>
      </c>
      <c r="AN96" s="28">
        <v>103</v>
      </c>
      <c r="AO96" s="28">
        <v>93</v>
      </c>
      <c r="AP96" s="28">
        <v>92</v>
      </c>
      <c r="AQ96" s="28">
        <v>95</v>
      </c>
      <c r="AR96" s="28">
        <v>93</v>
      </c>
    </row>
    <row r="97" spans="1:44" x14ac:dyDescent="0.2">
      <c r="A97" s="21" t="s">
        <v>39</v>
      </c>
      <c r="B97" s="21" t="s">
        <v>40</v>
      </c>
      <c r="C97" s="21" t="s">
        <v>41</v>
      </c>
      <c r="D97" s="21">
        <v>2024</v>
      </c>
      <c r="E97" s="21" t="s">
        <v>42</v>
      </c>
      <c r="F97" s="21" t="s">
        <v>43</v>
      </c>
      <c r="G97" s="21" t="s">
        <v>44</v>
      </c>
      <c r="H97" s="21">
        <v>714778</v>
      </c>
      <c r="I97" s="21" t="s">
        <v>45</v>
      </c>
      <c r="J97" s="21">
        <v>2</v>
      </c>
      <c r="K97" s="21" t="s">
        <v>46</v>
      </c>
      <c r="L97" s="21" t="s">
        <v>215</v>
      </c>
      <c r="M97" s="21" t="s">
        <v>215</v>
      </c>
      <c r="N97" s="21" t="s">
        <v>216</v>
      </c>
      <c r="O97" s="21" t="s">
        <v>216</v>
      </c>
      <c r="P97" s="27">
        <v>0.1125662508</v>
      </c>
      <c r="Q97" s="27">
        <v>0.1076544636</v>
      </c>
      <c r="R97" s="27">
        <v>0.118969427</v>
      </c>
      <c r="S97" s="27">
        <v>0.1069836193</v>
      </c>
      <c r="T97" s="27">
        <v>9.6221939100000001E-2</v>
      </c>
      <c r="U97" s="27">
        <v>8.7678452500000004E-2</v>
      </c>
      <c r="V97" s="21" t="s">
        <v>49</v>
      </c>
      <c r="W97" s="21" t="s">
        <v>50</v>
      </c>
      <c r="X97" s="21" t="s">
        <v>51</v>
      </c>
      <c r="Y97" s="27">
        <v>380.57501220699999</v>
      </c>
      <c r="Z97" s="27">
        <v>379.51098632809999</v>
      </c>
      <c r="AA97" s="27">
        <v>389.79699707029999</v>
      </c>
      <c r="AB97" s="27">
        <v>410</v>
      </c>
      <c r="AC97" s="27">
        <v>398.80725097660002</v>
      </c>
      <c r="AD97" s="27">
        <v>389.63470458979998</v>
      </c>
      <c r="AE97" s="21" t="s">
        <v>52</v>
      </c>
      <c r="AF97" s="21" t="s">
        <v>53</v>
      </c>
      <c r="AG97" s="27">
        <v>322.40803453550001</v>
      </c>
      <c r="AH97" s="27">
        <v>339.01263398010002</v>
      </c>
      <c r="AI97" s="27">
        <v>342.03720078309999</v>
      </c>
      <c r="AJ97" s="27">
        <v>346.60439139089999</v>
      </c>
      <c r="AK97" s="27">
        <v>379.2320100078</v>
      </c>
      <c r="AL97" s="27">
        <v>361.06287245060003</v>
      </c>
      <c r="AM97" s="28">
        <v>96</v>
      </c>
      <c r="AN97" s="28">
        <v>95</v>
      </c>
      <c r="AO97" s="28">
        <v>87</v>
      </c>
      <c r="AP97" s="28">
        <v>90</v>
      </c>
      <c r="AQ97" s="28">
        <v>92</v>
      </c>
      <c r="AR97" s="28">
        <v>94</v>
      </c>
    </row>
    <row r="98" spans="1:44" x14ac:dyDescent="0.2">
      <c r="A98" s="21" t="s">
        <v>39</v>
      </c>
      <c r="B98" s="21" t="s">
        <v>40</v>
      </c>
      <c r="C98" s="21" t="s">
        <v>41</v>
      </c>
      <c r="D98" s="21">
        <v>2024</v>
      </c>
      <c r="E98" s="21" t="s">
        <v>42</v>
      </c>
      <c r="F98" s="21" t="s">
        <v>43</v>
      </c>
      <c r="G98" s="21" t="s">
        <v>44</v>
      </c>
      <c r="H98" s="21">
        <v>714778</v>
      </c>
      <c r="I98" s="21" t="s">
        <v>45</v>
      </c>
      <c r="J98" s="21">
        <v>2</v>
      </c>
      <c r="K98" s="21" t="s">
        <v>46</v>
      </c>
      <c r="L98" s="21" t="s">
        <v>217</v>
      </c>
      <c r="M98" s="21" t="s">
        <v>217</v>
      </c>
      <c r="N98" s="21" t="s">
        <v>99</v>
      </c>
      <c r="O98" s="21" t="s">
        <v>99</v>
      </c>
      <c r="P98" s="27">
        <v>0.1223837567</v>
      </c>
      <c r="Q98" s="27">
        <v>0.12262892240000001</v>
      </c>
      <c r="R98" s="27">
        <v>7.8652280599999999E-2</v>
      </c>
      <c r="S98" s="27">
        <v>7.2797401100000006E-2</v>
      </c>
      <c r="T98" s="27">
        <v>8.2120830399999997E-2</v>
      </c>
      <c r="U98" s="27">
        <v>8.7466878200000001E-2</v>
      </c>
      <c r="V98" s="21" t="s">
        <v>49</v>
      </c>
      <c r="W98" s="21" t="s">
        <v>50</v>
      </c>
      <c r="X98" s="21" t="s">
        <v>51</v>
      </c>
      <c r="Y98" s="27">
        <v>413.76699829099999</v>
      </c>
      <c r="Z98" s="27">
        <v>432.29998779300001</v>
      </c>
      <c r="AA98" s="27">
        <v>257.70001220699999</v>
      </c>
      <c r="AB98" s="27">
        <v>278.98602294919999</v>
      </c>
      <c r="AC98" s="27">
        <v>340.36294555659998</v>
      </c>
      <c r="AD98" s="27">
        <v>388.6944885254</v>
      </c>
      <c r="AE98" s="21" t="s">
        <v>52</v>
      </c>
      <c r="AF98" s="21" t="s">
        <v>53</v>
      </c>
      <c r="AG98" s="27">
        <v>350.52696681539999</v>
      </c>
      <c r="AH98" s="27">
        <v>386.16841886240002</v>
      </c>
      <c r="AI98" s="27">
        <v>226.1253716153</v>
      </c>
      <c r="AJ98" s="27">
        <v>235.8482455875</v>
      </c>
      <c r="AK98" s="27">
        <v>323.65641211280001</v>
      </c>
      <c r="AL98" s="27">
        <v>360.19160223530002</v>
      </c>
      <c r="AM98" s="28">
        <v>92</v>
      </c>
      <c r="AN98" s="28">
        <v>92</v>
      </c>
      <c r="AO98" s="28">
        <v>102</v>
      </c>
      <c r="AP98" s="28">
        <v>104</v>
      </c>
      <c r="AQ98" s="28">
        <v>99</v>
      </c>
      <c r="AR98" s="28">
        <v>95</v>
      </c>
    </row>
    <row r="99" spans="1:44" x14ac:dyDescent="0.2">
      <c r="A99" s="21" t="s">
        <v>39</v>
      </c>
      <c r="B99" s="21" t="s">
        <v>40</v>
      </c>
      <c r="C99" s="21" t="s">
        <v>41</v>
      </c>
      <c r="D99" s="21">
        <v>2024</v>
      </c>
      <c r="E99" s="21" t="s">
        <v>42</v>
      </c>
      <c r="F99" s="21" t="s">
        <v>43</v>
      </c>
      <c r="G99" s="21" t="s">
        <v>44</v>
      </c>
      <c r="H99" s="21">
        <v>714778</v>
      </c>
      <c r="I99" s="21" t="s">
        <v>45</v>
      </c>
      <c r="J99" s="21">
        <v>2</v>
      </c>
      <c r="K99" s="21" t="s">
        <v>46</v>
      </c>
      <c r="L99" s="21" t="s">
        <v>218</v>
      </c>
      <c r="M99" s="21" t="s">
        <v>218</v>
      </c>
      <c r="N99" s="21" t="s">
        <v>295</v>
      </c>
      <c r="O99" s="21" t="s">
        <v>219</v>
      </c>
      <c r="P99" s="27">
        <v>0.1919164599</v>
      </c>
      <c r="Q99" s="27">
        <v>0.15298405209999999</v>
      </c>
      <c r="R99" s="27">
        <v>0.13623111639999999</v>
      </c>
      <c r="S99" s="27">
        <v>0.1184125979</v>
      </c>
      <c r="T99" s="27">
        <v>0.1027018784</v>
      </c>
      <c r="U99" s="27">
        <v>8.6494861500000006E-2</v>
      </c>
      <c r="V99" s="21" t="s">
        <v>49</v>
      </c>
      <c r="W99" s="21" t="s">
        <v>50</v>
      </c>
      <c r="X99" s="21" t="s">
        <v>51</v>
      </c>
      <c r="Y99" s="27">
        <v>648.84997558589998</v>
      </c>
      <c r="Z99" s="27">
        <v>539.3099975586</v>
      </c>
      <c r="AA99" s="27">
        <v>446.35400390630002</v>
      </c>
      <c r="AB99" s="27">
        <v>453.79998779300001</v>
      </c>
      <c r="AC99" s="27">
        <v>425.66439819340002</v>
      </c>
      <c r="AD99" s="27">
        <v>384.37493896479998</v>
      </c>
      <c r="AE99" s="21" t="s">
        <v>52</v>
      </c>
      <c r="AF99" s="21" t="s">
        <v>53</v>
      </c>
      <c r="AG99" s="27">
        <v>549.67992807500002</v>
      </c>
      <c r="AH99" s="27">
        <v>481.7591832402</v>
      </c>
      <c r="AI99" s="27">
        <v>391.66457207690001</v>
      </c>
      <c r="AJ99" s="27">
        <v>383.63187459059998</v>
      </c>
      <c r="AK99" s="27">
        <v>404.77088849400002</v>
      </c>
      <c r="AL99" s="27">
        <v>356.18880434890002</v>
      </c>
      <c r="AM99" s="28">
        <v>74</v>
      </c>
      <c r="AN99" s="28">
        <v>85</v>
      </c>
      <c r="AO99" s="28">
        <v>82</v>
      </c>
      <c r="AP99" s="28">
        <v>89</v>
      </c>
      <c r="AQ99" s="28">
        <v>90</v>
      </c>
      <c r="AR99" s="28">
        <v>96</v>
      </c>
    </row>
    <row r="100" spans="1:44" x14ac:dyDescent="0.2">
      <c r="A100" s="21" t="s">
        <v>39</v>
      </c>
      <c r="B100" s="21" t="s">
        <v>40</v>
      </c>
      <c r="C100" s="21" t="s">
        <v>41</v>
      </c>
      <c r="D100" s="21">
        <v>2024</v>
      </c>
      <c r="E100" s="21" t="s">
        <v>42</v>
      </c>
      <c r="F100" s="21" t="s">
        <v>43</v>
      </c>
      <c r="G100" s="21" t="s">
        <v>44</v>
      </c>
      <c r="H100" s="21">
        <v>714778</v>
      </c>
      <c r="I100" s="21" t="s">
        <v>45</v>
      </c>
      <c r="J100" s="21">
        <v>2</v>
      </c>
      <c r="K100" s="21" t="s">
        <v>46</v>
      </c>
      <c r="L100" s="21" t="s">
        <v>220</v>
      </c>
      <c r="M100" s="21" t="s">
        <v>220</v>
      </c>
      <c r="N100" s="21" t="s">
        <v>266</v>
      </c>
      <c r="O100" s="21" t="s">
        <v>221</v>
      </c>
      <c r="P100" s="27">
        <v>9.1645707000000007E-2</v>
      </c>
      <c r="Q100" s="27">
        <v>9.1695119800000002E-2</v>
      </c>
      <c r="R100" s="27">
        <v>7.7449752999999996E-2</v>
      </c>
      <c r="S100" s="27">
        <v>7.8484226500000004E-2</v>
      </c>
      <c r="T100" s="27">
        <v>8.55875948E-2</v>
      </c>
      <c r="U100" s="27">
        <v>8.4794795500000006E-2</v>
      </c>
      <c r="V100" s="21" t="s">
        <v>49</v>
      </c>
      <c r="W100" s="21" t="s">
        <v>50</v>
      </c>
      <c r="X100" s="21" t="s">
        <v>51</v>
      </c>
      <c r="Y100" s="27">
        <v>309.84478759770002</v>
      </c>
      <c r="Z100" s="27">
        <v>323.25</v>
      </c>
      <c r="AA100" s="27">
        <v>253.75999450680001</v>
      </c>
      <c r="AB100" s="27">
        <v>300.7799987793</v>
      </c>
      <c r="AC100" s="27">
        <v>354.73150634770002</v>
      </c>
      <c r="AD100" s="27">
        <v>376.82000732419999</v>
      </c>
      <c r="AE100" s="21" t="s">
        <v>52</v>
      </c>
      <c r="AF100" s="21" t="s">
        <v>53</v>
      </c>
      <c r="AG100" s="27">
        <v>262.48819753330002</v>
      </c>
      <c r="AH100" s="27">
        <v>288.75536646339998</v>
      </c>
      <c r="AI100" s="27">
        <v>222.66810376730001</v>
      </c>
      <c r="AJ100" s="27">
        <v>254.27236199859999</v>
      </c>
      <c r="AK100" s="27">
        <v>337.31969976950001</v>
      </c>
      <c r="AL100" s="27">
        <v>349.18787427979998</v>
      </c>
      <c r="AM100" s="28">
        <v>105</v>
      </c>
      <c r="AN100" s="28">
        <v>104</v>
      </c>
      <c r="AO100" s="28">
        <v>103</v>
      </c>
      <c r="AP100" s="28">
        <v>101</v>
      </c>
      <c r="AQ100" s="28">
        <v>97</v>
      </c>
      <c r="AR100" s="28">
        <v>97</v>
      </c>
    </row>
    <row r="101" spans="1:44" x14ac:dyDescent="0.2">
      <c r="A101" s="21" t="s">
        <v>39</v>
      </c>
      <c r="B101" s="21" t="s">
        <v>40</v>
      </c>
      <c r="C101" s="21" t="s">
        <v>41</v>
      </c>
      <c r="D101" s="21">
        <v>2024</v>
      </c>
      <c r="E101" s="21" t="s">
        <v>42</v>
      </c>
      <c r="F101" s="21" t="s">
        <v>43</v>
      </c>
      <c r="G101" s="21" t="s">
        <v>44</v>
      </c>
      <c r="H101" s="21">
        <v>714778</v>
      </c>
      <c r="I101" s="21" t="s">
        <v>45</v>
      </c>
      <c r="J101" s="21">
        <v>2</v>
      </c>
      <c r="K101" s="21" t="s">
        <v>46</v>
      </c>
      <c r="L101" s="21" t="s">
        <v>222</v>
      </c>
      <c r="M101" s="21" t="s">
        <v>222</v>
      </c>
      <c r="N101" s="21" t="s">
        <v>223</v>
      </c>
      <c r="O101" s="21" t="s">
        <v>223</v>
      </c>
      <c r="P101" s="27">
        <v>0.1044534662</v>
      </c>
      <c r="Q101" s="27">
        <v>0.10596920830000001</v>
      </c>
      <c r="R101" s="27">
        <v>6.1847486700000003E-2</v>
      </c>
      <c r="S101" s="27">
        <v>6.4803371999999998E-2</v>
      </c>
      <c r="T101" s="27">
        <v>7.5880766399999994E-2</v>
      </c>
      <c r="U101" s="27">
        <v>8.4254731299999996E-2</v>
      </c>
      <c r="V101" s="21" t="s">
        <v>49</v>
      </c>
      <c r="W101" s="21" t="s">
        <v>50</v>
      </c>
      <c r="X101" s="21" t="s">
        <v>51</v>
      </c>
      <c r="Y101" s="27">
        <v>353.14651489260001</v>
      </c>
      <c r="Z101" s="27">
        <v>373.57000732419999</v>
      </c>
      <c r="AA101" s="27">
        <v>202.63999938960001</v>
      </c>
      <c r="AB101" s="27">
        <v>248.35000610349999</v>
      </c>
      <c r="AC101" s="27">
        <v>314.5</v>
      </c>
      <c r="AD101" s="27">
        <v>374.42001342769998</v>
      </c>
      <c r="AE101" s="21" t="s">
        <v>52</v>
      </c>
      <c r="AF101" s="21" t="s">
        <v>53</v>
      </c>
      <c r="AG101" s="27">
        <v>299.171701025</v>
      </c>
      <c r="AH101" s="27">
        <v>333.70562835160001</v>
      </c>
      <c r="AI101" s="27">
        <v>177.81157545810001</v>
      </c>
      <c r="AJ101" s="27">
        <v>209.94927492049999</v>
      </c>
      <c r="AK101" s="27">
        <v>299.06293542909998</v>
      </c>
      <c r="AL101" s="27">
        <v>346.96387143829998</v>
      </c>
      <c r="AM101" s="28">
        <v>100</v>
      </c>
      <c r="AN101" s="28">
        <v>96</v>
      </c>
      <c r="AO101" s="28">
        <v>108</v>
      </c>
      <c r="AP101" s="28">
        <v>106</v>
      </c>
      <c r="AQ101" s="28">
        <v>103</v>
      </c>
      <c r="AR101" s="28">
        <v>98</v>
      </c>
    </row>
    <row r="102" spans="1:44" x14ac:dyDescent="0.2">
      <c r="A102" s="21" t="s">
        <v>39</v>
      </c>
      <c r="B102" s="21" t="s">
        <v>40</v>
      </c>
      <c r="C102" s="21" t="s">
        <v>41</v>
      </c>
      <c r="D102" s="21">
        <v>2024</v>
      </c>
      <c r="E102" s="21" t="s">
        <v>42</v>
      </c>
      <c r="F102" s="21" t="s">
        <v>43</v>
      </c>
      <c r="G102" s="21" t="s">
        <v>44</v>
      </c>
      <c r="H102" s="21">
        <v>714778</v>
      </c>
      <c r="I102" s="21" t="s">
        <v>45</v>
      </c>
      <c r="J102" s="21">
        <v>2</v>
      </c>
      <c r="K102" s="21" t="s">
        <v>46</v>
      </c>
      <c r="L102" s="21" t="s">
        <v>224</v>
      </c>
      <c r="M102" s="21" t="s">
        <v>224</v>
      </c>
      <c r="N102" s="21" t="s">
        <v>225</v>
      </c>
      <c r="O102" s="21" t="s">
        <v>225</v>
      </c>
      <c r="P102" s="27">
        <v>0.1030147008</v>
      </c>
      <c r="Q102" s="27">
        <v>9.5684687399999996E-2</v>
      </c>
      <c r="R102" s="27">
        <v>8.3773681899999994E-2</v>
      </c>
      <c r="S102" s="27">
        <v>8.8952963800000007E-2</v>
      </c>
      <c r="T102" s="27">
        <v>8.7020926700000001E-2</v>
      </c>
      <c r="U102" s="27">
        <v>8.4001733600000003E-2</v>
      </c>
      <c r="V102" s="21" t="s">
        <v>49</v>
      </c>
      <c r="W102" s="21" t="s">
        <v>50</v>
      </c>
      <c r="X102" s="21" t="s">
        <v>51</v>
      </c>
      <c r="Y102" s="27">
        <v>348.28219604489999</v>
      </c>
      <c r="Z102" s="27">
        <v>337.3143005371</v>
      </c>
      <c r="AA102" s="27">
        <v>274.48001098629999</v>
      </c>
      <c r="AB102" s="27">
        <v>340.89999389650001</v>
      </c>
      <c r="AC102" s="27">
        <v>360.67218017580001</v>
      </c>
      <c r="AD102" s="27">
        <v>373.29571533199999</v>
      </c>
      <c r="AE102" s="21" t="s">
        <v>52</v>
      </c>
      <c r="AF102" s="21" t="s">
        <v>53</v>
      </c>
      <c r="AG102" s="27">
        <v>295.05084329990001</v>
      </c>
      <c r="AH102" s="27">
        <v>301.31883825189999</v>
      </c>
      <c r="AI102" s="27">
        <v>240.84940452149999</v>
      </c>
      <c r="AJ102" s="27">
        <v>288.1888656333</v>
      </c>
      <c r="AK102" s="27">
        <v>342.9687787949</v>
      </c>
      <c r="AL102" s="27">
        <v>345.92201788900002</v>
      </c>
      <c r="AM102" s="28">
        <v>102</v>
      </c>
      <c r="AN102" s="28">
        <v>102</v>
      </c>
      <c r="AO102" s="28">
        <v>100</v>
      </c>
      <c r="AP102" s="28">
        <v>95</v>
      </c>
      <c r="AQ102" s="28">
        <v>96</v>
      </c>
      <c r="AR102" s="28">
        <v>99</v>
      </c>
    </row>
    <row r="103" spans="1:44" x14ac:dyDescent="0.2">
      <c r="A103" s="21" t="s">
        <v>39</v>
      </c>
      <c r="B103" s="21" t="s">
        <v>40</v>
      </c>
      <c r="C103" s="21" t="s">
        <v>41</v>
      </c>
      <c r="D103" s="21">
        <v>2024</v>
      </c>
      <c r="E103" s="21" t="s">
        <v>42</v>
      </c>
      <c r="F103" s="21" t="s">
        <v>43</v>
      </c>
      <c r="G103" s="21" t="s">
        <v>44</v>
      </c>
      <c r="H103" s="21">
        <v>714778</v>
      </c>
      <c r="I103" s="21" t="s">
        <v>45</v>
      </c>
      <c r="J103" s="21">
        <v>2</v>
      </c>
      <c r="K103" s="21" t="s">
        <v>46</v>
      </c>
      <c r="L103" s="21" t="s">
        <v>226</v>
      </c>
      <c r="M103" s="21" t="s">
        <v>226</v>
      </c>
      <c r="N103" s="21" t="s">
        <v>227</v>
      </c>
      <c r="O103" s="21" t="s">
        <v>227</v>
      </c>
      <c r="P103" s="27">
        <v>0.1191065249</v>
      </c>
      <c r="Q103" s="27">
        <v>0.1039330493</v>
      </c>
      <c r="R103" s="27">
        <v>8.1010010199999996E-2</v>
      </c>
      <c r="S103" s="27">
        <v>7.8515537499999996E-2</v>
      </c>
      <c r="T103" s="27">
        <v>8.1383967400000007E-2</v>
      </c>
      <c r="U103" s="27">
        <v>8.15964931E-2</v>
      </c>
      <c r="V103" s="21" t="s">
        <v>49</v>
      </c>
      <c r="W103" s="21" t="s">
        <v>50</v>
      </c>
      <c r="X103" s="21" t="s">
        <v>51</v>
      </c>
      <c r="Y103" s="27">
        <v>402.68701171880002</v>
      </c>
      <c r="Z103" s="27">
        <v>366.39199829099999</v>
      </c>
      <c r="AA103" s="27">
        <v>265.42498779300001</v>
      </c>
      <c r="AB103" s="27">
        <v>300.89999389650001</v>
      </c>
      <c r="AC103" s="27">
        <v>337.30889892580001</v>
      </c>
      <c r="AD103" s="27">
        <v>362.60705566410002</v>
      </c>
      <c r="AE103" s="21" t="s">
        <v>52</v>
      </c>
      <c r="AF103" s="21" t="s">
        <v>53</v>
      </c>
      <c r="AG103" s="27">
        <v>341.14044226999999</v>
      </c>
      <c r="AH103" s="27">
        <v>327.29359856389999</v>
      </c>
      <c r="AI103" s="27">
        <v>232.9038461685</v>
      </c>
      <c r="AJ103" s="27">
        <v>254.37380305849999</v>
      </c>
      <c r="AK103" s="27">
        <v>320.75227173010001</v>
      </c>
      <c r="AL103" s="27">
        <v>336.01715541930002</v>
      </c>
      <c r="AM103" s="28">
        <v>93</v>
      </c>
      <c r="AN103" s="28">
        <v>97</v>
      </c>
      <c r="AO103" s="28">
        <v>101</v>
      </c>
      <c r="AP103" s="28">
        <v>100</v>
      </c>
      <c r="AQ103" s="28">
        <v>101</v>
      </c>
      <c r="AR103" s="28">
        <v>100</v>
      </c>
    </row>
    <row r="104" spans="1:44" x14ac:dyDescent="0.2">
      <c r="A104" s="21" t="s">
        <v>39</v>
      </c>
      <c r="B104" s="21" t="s">
        <v>40</v>
      </c>
      <c r="C104" s="21" t="s">
        <v>41</v>
      </c>
      <c r="D104" s="21">
        <v>2024</v>
      </c>
      <c r="E104" s="21" t="s">
        <v>42</v>
      </c>
      <c r="F104" s="21" t="s">
        <v>43</v>
      </c>
      <c r="G104" s="21" t="s">
        <v>44</v>
      </c>
      <c r="H104" s="21">
        <v>714778</v>
      </c>
      <c r="I104" s="21" t="s">
        <v>45</v>
      </c>
      <c r="J104" s="21">
        <v>2</v>
      </c>
      <c r="K104" s="21" t="s">
        <v>46</v>
      </c>
      <c r="L104" s="21" t="s">
        <v>228</v>
      </c>
      <c r="M104" s="21" t="s">
        <v>228</v>
      </c>
      <c r="N104" s="21" t="s">
        <v>229</v>
      </c>
      <c r="O104" s="21" t="s">
        <v>229</v>
      </c>
      <c r="P104" s="27">
        <v>9.2459506600000005E-2</v>
      </c>
      <c r="Q104" s="27">
        <v>9.0486698800000001E-2</v>
      </c>
      <c r="R104" s="27">
        <v>8.4345026000000003E-2</v>
      </c>
      <c r="S104" s="27">
        <v>8.36220503E-2</v>
      </c>
      <c r="T104" s="27">
        <v>8.2888301799999994E-2</v>
      </c>
      <c r="U104" s="27">
        <v>8.0553633499999999E-2</v>
      </c>
      <c r="V104" s="21" t="s">
        <v>49</v>
      </c>
      <c r="W104" s="21" t="s">
        <v>50</v>
      </c>
      <c r="X104" s="21" t="s">
        <v>51</v>
      </c>
      <c r="Y104" s="27">
        <v>312.59616088870001</v>
      </c>
      <c r="Z104" s="27">
        <v>318.98999023440001</v>
      </c>
      <c r="AA104" s="27">
        <v>276.3519897461</v>
      </c>
      <c r="AB104" s="27">
        <v>320.4700012207</v>
      </c>
      <c r="AC104" s="27">
        <v>343.54385375980002</v>
      </c>
      <c r="AD104" s="27">
        <v>357.97268676760001</v>
      </c>
      <c r="AE104" s="21" t="s">
        <v>52</v>
      </c>
      <c r="AF104" s="21" t="s">
        <v>53</v>
      </c>
      <c r="AG104" s="27">
        <v>264.81905170549999</v>
      </c>
      <c r="AH104" s="27">
        <v>284.94995059019999</v>
      </c>
      <c r="AI104" s="27">
        <v>242.49201947169999</v>
      </c>
      <c r="AJ104" s="27">
        <v>270.91782861489997</v>
      </c>
      <c r="AK104" s="27">
        <v>326.68118713519999</v>
      </c>
      <c r="AL104" s="27">
        <v>331.72262383359998</v>
      </c>
      <c r="AM104" s="28">
        <v>104</v>
      </c>
      <c r="AN104" s="28">
        <v>105</v>
      </c>
      <c r="AO104" s="28">
        <v>99</v>
      </c>
      <c r="AP104" s="28">
        <v>99</v>
      </c>
      <c r="AQ104" s="28">
        <v>98</v>
      </c>
      <c r="AR104" s="28">
        <v>101</v>
      </c>
    </row>
    <row r="105" spans="1:44" x14ac:dyDescent="0.2">
      <c r="A105" s="21" t="s">
        <v>39</v>
      </c>
      <c r="B105" s="21" t="s">
        <v>40</v>
      </c>
      <c r="C105" s="21" t="s">
        <v>41</v>
      </c>
      <c r="D105" s="21">
        <v>2024</v>
      </c>
      <c r="E105" s="21" t="s">
        <v>42</v>
      </c>
      <c r="F105" s="21" t="s">
        <v>43</v>
      </c>
      <c r="G105" s="21" t="s">
        <v>44</v>
      </c>
      <c r="H105" s="21">
        <v>714778</v>
      </c>
      <c r="I105" s="21" t="s">
        <v>45</v>
      </c>
      <c r="J105" s="21">
        <v>2</v>
      </c>
      <c r="K105" s="21" t="s">
        <v>46</v>
      </c>
      <c r="L105" s="21" t="s">
        <v>230</v>
      </c>
      <c r="M105" s="21" t="s">
        <v>230</v>
      </c>
      <c r="N105" s="21" t="s">
        <v>231</v>
      </c>
      <c r="O105" s="21" t="s">
        <v>231</v>
      </c>
      <c r="P105" s="27">
        <v>0.21667319979999999</v>
      </c>
      <c r="Q105" s="27">
        <v>0.18271268860000001</v>
      </c>
      <c r="R105" s="27">
        <v>9.1333697500000005E-2</v>
      </c>
      <c r="S105" s="27">
        <v>8.7768313700000003E-2</v>
      </c>
      <c r="T105" s="27">
        <v>8.1743728900000007E-2</v>
      </c>
      <c r="U105" s="27">
        <v>7.5730695400000006E-2</v>
      </c>
      <c r="V105" s="21" t="s">
        <v>49</v>
      </c>
      <c r="W105" s="21" t="s">
        <v>50</v>
      </c>
      <c r="X105" s="21" t="s">
        <v>51</v>
      </c>
      <c r="Y105" s="27">
        <v>732.54998779300001</v>
      </c>
      <c r="Z105" s="27">
        <v>644.11145019529999</v>
      </c>
      <c r="AA105" s="27">
        <v>299.25</v>
      </c>
      <c r="AB105" s="27">
        <v>336.35998535160002</v>
      </c>
      <c r="AC105" s="27">
        <v>338.79998779300001</v>
      </c>
      <c r="AD105" s="27">
        <v>336.54000854489999</v>
      </c>
      <c r="AE105" s="21" t="s">
        <v>52</v>
      </c>
      <c r="AF105" s="21" t="s">
        <v>53</v>
      </c>
      <c r="AG105" s="27">
        <v>620.58725399150001</v>
      </c>
      <c r="AH105" s="27">
        <v>575.37706989770004</v>
      </c>
      <c r="AI105" s="27">
        <v>262.58445576449998</v>
      </c>
      <c r="AJ105" s="27">
        <v>284.35084880739998</v>
      </c>
      <c r="AK105" s="27">
        <v>322.17017129639999</v>
      </c>
      <c r="AL105" s="27">
        <v>311.86159946330002</v>
      </c>
      <c r="AM105" s="28">
        <v>69</v>
      </c>
      <c r="AN105" s="28">
        <v>75</v>
      </c>
      <c r="AO105" s="28">
        <v>96</v>
      </c>
      <c r="AP105" s="28">
        <v>96</v>
      </c>
      <c r="AQ105" s="28">
        <v>100</v>
      </c>
      <c r="AR105" s="28">
        <v>102</v>
      </c>
    </row>
    <row r="106" spans="1:44" x14ac:dyDescent="0.2">
      <c r="A106" s="21" t="s">
        <v>39</v>
      </c>
      <c r="B106" s="21" t="s">
        <v>40</v>
      </c>
      <c r="C106" s="21" t="s">
        <v>41</v>
      </c>
      <c r="D106" s="21">
        <v>2024</v>
      </c>
      <c r="E106" s="21" t="s">
        <v>42</v>
      </c>
      <c r="F106" s="21" t="s">
        <v>43</v>
      </c>
      <c r="G106" s="21" t="s">
        <v>44</v>
      </c>
      <c r="H106" s="21">
        <v>714778</v>
      </c>
      <c r="I106" s="21" t="s">
        <v>45</v>
      </c>
      <c r="J106" s="21">
        <v>2</v>
      </c>
      <c r="K106" s="21" t="s">
        <v>46</v>
      </c>
      <c r="L106" s="21" t="s">
        <v>232</v>
      </c>
      <c r="M106" s="21" t="s">
        <v>232</v>
      </c>
      <c r="N106" s="21" t="s">
        <v>296</v>
      </c>
      <c r="O106" s="21" t="s">
        <v>176</v>
      </c>
      <c r="P106" s="27">
        <v>7.5639666100000003E-2</v>
      </c>
      <c r="Q106" s="27">
        <v>7.4747194599999997E-2</v>
      </c>
      <c r="R106" s="27">
        <v>6.3969296199999998E-2</v>
      </c>
      <c r="S106" s="27">
        <v>7.4925331100000006E-2</v>
      </c>
      <c r="T106" s="27">
        <v>7.4406451400000004E-2</v>
      </c>
      <c r="U106" s="27">
        <v>7.2657673000000006E-2</v>
      </c>
      <c r="V106" s="21" t="s">
        <v>49</v>
      </c>
      <c r="W106" s="21" t="s">
        <v>50</v>
      </c>
      <c r="X106" s="21" t="s">
        <v>51</v>
      </c>
      <c r="Y106" s="27">
        <v>255.72999572750001</v>
      </c>
      <c r="Z106" s="27">
        <v>263.50399780269998</v>
      </c>
      <c r="AA106" s="27">
        <v>209.59199523929999</v>
      </c>
      <c r="AB106" s="27">
        <v>287.14102172849999</v>
      </c>
      <c r="AC106" s="27">
        <v>308.38946533199999</v>
      </c>
      <c r="AD106" s="27">
        <v>322.8837890625</v>
      </c>
      <c r="AE106" s="21" t="s">
        <v>52</v>
      </c>
      <c r="AF106" s="21" t="s">
        <v>53</v>
      </c>
      <c r="AG106" s="27">
        <v>216.6442952104</v>
      </c>
      <c r="AH106" s="27">
        <v>235.38497587040001</v>
      </c>
      <c r="AI106" s="27">
        <v>183.91177945690001</v>
      </c>
      <c r="AJ106" s="27">
        <v>242.742290438</v>
      </c>
      <c r="AK106" s="27">
        <v>293.2523330926</v>
      </c>
      <c r="AL106" s="27">
        <v>299.20678772539998</v>
      </c>
      <c r="AM106" s="28">
        <v>109</v>
      </c>
      <c r="AN106" s="28">
        <v>109</v>
      </c>
      <c r="AO106" s="28">
        <v>107</v>
      </c>
      <c r="AP106" s="28">
        <v>103</v>
      </c>
      <c r="AQ106" s="28">
        <v>105</v>
      </c>
      <c r="AR106" s="28">
        <v>103</v>
      </c>
    </row>
    <row r="107" spans="1:44" x14ac:dyDescent="0.2">
      <c r="A107" s="21" t="s">
        <v>39</v>
      </c>
      <c r="B107" s="21" t="s">
        <v>40</v>
      </c>
      <c r="C107" s="21" t="s">
        <v>41</v>
      </c>
      <c r="D107" s="21">
        <v>2024</v>
      </c>
      <c r="E107" s="21" t="s">
        <v>42</v>
      </c>
      <c r="F107" s="21" t="s">
        <v>43</v>
      </c>
      <c r="G107" s="21" t="s">
        <v>44</v>
      </c>
      <c r="H107" s="21">
        <v>714778</v>
      </c>
      <c r="I107" s="21" t="s">
        <v>45</v>
      </c>
      <c r="J107" s="21">
        <v>2</v>
      </c>
      <c r="K107" s="21" t="s">
        <v>46</v>
      </c>
      <c r="L107" s="21" t="s">
        <v>233</v>
      </c>
      <c r="M107" s="21" t="s">
        <v>233</v>
      </c>
      <c r="N107" s="21" t="s">
        <v>234</v>
      </c>
      <c r="O107" s="21" t="s">
        <v>234</v>
      </c>
      <c r="P107" s="27">
        <v>0.12827302360000001</v>
      </c>
      <c r="Q107" s="27">
        <v>0.1137606639</v>
      </c>
      <c r="R107" s="27">
        <v>0.1030933876</v>
      </c>
      <c r="S107" s="27">
        <v>8.6630638100000004E-2</v>
      </c>
      <c r="T107" s="27">
        <v>7.8260699399999994E-2</v>
      </c>
      <c r="U107" s="27">
        <v>7.1895898400000005E-2</v>
      </c>
      <c r="V107" s="21" t="s">
        <v>49</v>
      </c>
      <c r="W107" s="21" t="s">
        <v>50</v>
      </c>
      <c r="X107" s="21" t="s">
        <v>51</v>
      </c>
      <c r="Y107" s="27">
        <v>433.6780090332</v>
      </c>
      <c r="Z107" s="27">
        <v>401.03698730470001</v>
      </c>
      <c r="AA107" s="27">
        <v>337.7799987793</v>
      </c>
      <c r="AB107" s="27">
        <v>332</v>
      </c>
      <c r="AC107" s="27">
        <v>324.36401367190001</v>
      </c>
      <c r="AD107" s="27">
        <v>319.49853515630002</v>
      </c>
      <c r="AE107" s="21" t="s">
        <v>52</v>
      </c>
      <c r="AF107" s="21" t="s">
        <v>53</v>
      </c>
      <c r="AG107" s="27">
        <v>367.39478428400002</v>
      </c>
      <c r="AH107" s="27">
        <v>358.24155370310001</v>
      </c>
      <c r="AI107" s="27">
        <v>296.39357442800002</v>
      </c>
      <c r="AJ107" s="27">
        <v>280.66501937020001</v>
      </c>
      <c r="AK107" s="27">
        <v>308.44277925680001</v>
      </c>
      <c r="AL107" s="27">
        <v>296.06977378649998</v>
      </c>
      <c r="AM107" s="28">
        <v>90</v>
      </c>
      <c r="AN107" s="28">
        <v>93</v>
      </c>
      <c r="AO107" s="28">
        <v>90</v>
      </c>
      <c r="AP107" s="28">
        <v>98</v>
      </c>
      <c r="AQ107" s="28">
        <v>102</v>
      </c>
      <c r="AR107" s="28">
        <v>104</v>
      </c>
    </row>
    <row r="108" spans="1:44" x14ac:dyDescent="0.2">
      <c r="A108" s="21" t="s">
        <v>39</v>
      </c>
      <c r="B108" s="21" t="s">
        <v>40</v>
      </c>
      <c r="C108" s="21" t="s">
        <v>41</v>
      </c>
      <c r="D108" s="21">
        <v>2024</v>
      </c>
      <c r="E108" s="21" t="s">
        <v>42</v>
      </c>
      <c r="F108" s="21" t="s">
        <v>43</v>
      </c>
      <c r="G108" s="21" t="s">
        <v>44</v>
      </c>
      <c r="H108" s="21">
        <v>714778</v>
      </c>
      <c r="I108" s="21" t="s">
        <v>45</v>
      </c>
      <c r="J108" s="21">
        <v>2</v>
      </c>
      <c r="K108" s="21" t="s">
        <v>46</v>
      </c>
      <c r="L108" s="21" t="s">
        <v>235</v>
      </c>
      <c r="M108" s="21" t="s">
        <v>235</v>
      </c>
      <c r="N108" s="21" t="s">
        <v>236</v>
      </c>
      <c r="O108" s="21" t="s">
        <v>236</v>
      </c>
      <c r="P108" s="27">
        <v>7.9165356000000006E-2</v>
      </c>
      <c r="Q108" s="27">
        <v>7.6955251799999999E-2</v>
      </c>
      <c r="R108" s="27">
        <v>5.5651446899999998E-2</v>
      </c>
      <c r="S108" s="27">
        <v>5.6630968800000001E-2</v>
      </c>
      <c r="T108" s="27">
        <v>6.5978462200000004E-2</v>
      </c>
      <c r="U108" s="27">
        <v>7.05813208E-2</v>
      </c>
      <c r="V108" s="21" t="s">
        <v>49</v>
      </c>
      <c r="W108" s="21" t="s">
        <v>50</v>
      </c>
      <c r="X108" s="21" t="s">
        <v>51</v>
      </c>
      <c r="Y108" s="27">
        <v>267.64999389650001</v>
      </c>
      <c r="Z108" s="27">
        <v>271.28799438480002</v>
      </c>
      <c r="AA108" s="27">
        <v>182.3390045166</v>
      </c>
      <c r="AB108" s="27">
        <v>217.03039550779999</v>
      </c>
      <c r="AC108" s="27">
        <v>273.45831298830001</v>
      </c>
      <c r="AD108" s="27">
        <v>313.6566772461</v>
      </c>
      <c r="AE108" s="21" t="s">
        <v>52</v>
      </c>
      <c r="AF108" s="21" t="s">
        <v>53</v>
      </c>
      <c r="AG108" s="27">
        <v>226.74244421669999</v>
      </c>
      <c r="AH108" s="27">
        <v>242.33832710190001</v>
      </c>
      <c r="AI108" s="27">
        <v>159.99795577489999</v>
      </c>
      <c r="AJ108" s="27">
        <v>183.4724101178</v>
      </c>
      <c r="AK108" s="27">
        <v>260.0357577099</v>
      </c>
      <c r="AL108" s="27">
        <v>290.65629810619998</v>
      </c>
      <c r="AM108" s="28">
        <v>108</v>
      </c>
      <c r="AN108" s="28">
        <v>108</v>
      </c>
      <c r="AO108" s="28">
        <v>110</v>
      </c>
      <c r="AP108" s="28">
        <v>107</v>
      </c>
      <c r="AQ108" s="28">
        <v>108</v>
      </c>
      <c r="AR108" s="28">
        <v>105</v>
      </c>
    </row>
    <row r="109" spans="1:44" x14ac:dyDescent="0.2">
      <c r="A109" s="21" t="s">
        <v>39</v>
      </c>
      <c r="B109" s="21" t="s">
        <v>40</v>
      </c>
      <c r="C109" s="21" t="s">
        <v>41</v>
      </c>
      <c r="D109" s="21">
        <v>2024</v>
      </c>
      <c r="E109" s="21" t="s">
        <v>42</v>
      </c>
      <c r="F109" s="21" t="s">
        <v>43</v>
      </c>
      <c r="G109" s="21" t="s">
        <v>44</v>
      </c>
      <c r="H109" s="21">
        <v>714778</v>
      </c>
      <c r="I109" s="21" t="s">
        <v>45</v>
      </c>
      <c r="J109" s="21">
        <v>2</v>
      </c>
      <c r="K109" s="21" t="s">
        <v>46</v>
      </c>
      <c r="L109" s="21" t="s">
        <v>237</v>
      </c>
      <c r="M109" s="21" t="s">
        <v>237</v>
      </c>
      <c r="N109" s="21" t="s">
        <v>297</v>
      </c>
      <c r="O109" s="21" t="s">
        <v>169</v>
      </c>
      <c r="P109" s="27">
        <v>0.1127363185</v>
      </c>
      <c r="Q109" s="27">
        <v>9.9109303100000004E-2</v>
      </c>
      <c r="R109" s="27">
        <v>6.7830188799999996E-2</v>
      </c>
      <c r="S109" s="27">
        <v>6.8112034500000002E-2</v>
      </c>
      <c r="T109" s="27">
        <v>6.9592709700000005E-2</v>
      </c>
      <c r="U109" s="27">
        <v>6.9579726699999997E-2</v>
      </c>
      <c r="V109" s="21" t="s">
        <v>49</v>
      </c>
      <c r="W109" s="21" t="s">
        <v>50</v>
      </c>
      <c r="X109" s="21" t="s">
        <v>51</v>
      </c>
      <c r="Y109" s="27">
        <v>381.14999389650001</v>
      </c>
      <c r="Z109" s="27">
        <v>349.3869934082</v>
      </c>
      <c r="AA109" s="27">
        <v>222.24200439449999</v>
      </c>
      <c r="AB109" s="27">
        <v>261.02999999999997</v>
      </c>
      <c r="AC109" s="27">
        <v>288.43814086909998</v>
      </c>
      <c r="AD109" s="27">
        <v>309.20568847660002</v>
      </c>
      <c r="AE109" s="21" t="s">
        <v>52</v>
      </c>
      <c r="AF109" s="21" t="s">
        <v>53</v>
      </c>
      <c r="AG109" s="27">
        <v>322.89513618550001</v>
      </c>
      <c r="AH109" s="27">
        <v>312.10323068560001</v>
      </c>
      <c r="AI109" s="27">
        <v>195.01184886199999</v>
      </c>
      <c r="AJ109" s="27">
        <v>220.668644597</v>
      </c>
      <c r="AK109" s="27">
        <v>274.2803087378</v>
      </c>
      <c r="AL109" s="27">
        <v>286.53169942070002</v>
      </c>
      <c r="AM109" s="28">
        <v>95</v>
      </c>
      <c r="AN109" s="28">
        <v>100</v>
      </c>
      <c r="AO109" s="28">
        <v>105</v>
      </c>
      <c r="AP109" s="28">
        <v>105</v>
      </c>
      <c r="AQ109" s="28">
        <v>106</v>
      </c>
      <c r="AR109" s="28">
        <v>106</v>
      </c>
    </row>
    <row r="110" spans="1:44" x14ac:dyDescent="0.2">
      <c r="A110" s="21" t="s">
        <v>39</v>
      </c>
      <c r="B110" s="21" t="s">
        <v>40</v>
      </c>
      <c r="C110" s="21" t="s">
        <v>41</v>
      </c>
      <c r="D110" s="21">
        <v>2024</v>
      </c>
      <c r="E110" s="21" t="s">
        <v>42</v>
      </c>
      <c r="F110" s="21" t="s">
        <v>43</v>
      </c>
      <c r="G110" s="21" t="s">
        <v>44</v>
      </c>
      <c r="H110" s="21">
        <v>714778</v>
      </c>
      <c r="I110" s="21" t="s">
        <v>45</v>
      </c>
      <c r="J110" s="21">
        <v>2</v>
      </c>
      <c r="K110" s="21" t="s">
        <v>46</v>
      </c>
      <c r="L110" s="21" t="s">
        <v>238</v>
      </c>
      <c r="M110" s="21" t="s">
        <v>238</v>
      </c>
      <c r="N110" s="21" t="s">
        <v>239</v>
      </c>
      <c r="O110" s="21" t="s">
        <v>239</v>
      </c>
      <c r="P110" s="27">
        <v>0.1038185713</v>
      </c>
      <c r="Q110" s="27">
        <v>9.9989518599999994E-2</v>
      </c>
      <c r="R110" s="27">
        <v>8.8883179500000006E-2</v>
      </c>
      <c r="S110" s="27">
        <v>8.7309072400000007E-2</v>
      </c>
      <c r="T110" s="27">
        <v>7.5007354600000006E-2</v>
      </c>
      <c r="U110" s="27">
        <v>6.2541105999999999E-2</v>
      </c>
      <c r="V110" s="21" t="s">
        <v>49</v>
      </c>
      <c r="W110" s="21" t="s">
        <v>50</v>
      </c>
      <c r="X110" s="21" t="s">
        <v>51</v>
      </c>
      <c r="Y110" s="27">
        <v>351</v>
      </c>
      <c r="Z110" s="27">
        <v>352.48999023440001</v>
      </c>
      <c r="AA110" s="27">
        <v>291.22100830080001</v>
      </c>
      <c r="AB110" s="27">
        <v>334.60000610349999</v>
      </c>
      <c r="AC110" s="27">
        <v>310.88000488279999</v>
      </c>
      <c r="AD110" s="27">
        <v>277.92672729489999</v>
      </c>
      <c r="AE110" s="21" t="s">
        <v>52</v>
      </c>
      <c r="AF110" s="21" t="s">
        <v>53</v>
      </c>
      <c r="AG110" s="27">
        <v>297.353258864</v>
      </c>
      <c r="AH110" s="27">
        <v>314.87510071090003</v>
      </c>
      <c r="AI110" s="27">
        <v>255.53921460929999</v>
      </c>
      <c r="AJ110" s="27">
        <v>282.86300359730001</v>
      </c>
      <c r="AK110" s="27">
        <v>295.62062583929998</v>
      </c>
      <c r="AL110" s="27">
        <v>257.54641798030002</v>
      </c>
      <c r="AM110" s="28">
        <v>101</v>
      </c>
      <c r="AN110" s="28">
        <v>98</v>
      </c>
      <c r="AO110" s="28">
        <v>97</v>
      </c>
      <c r="AP110" s="28">
        <v>97</v>
      </c>
      <c r="AQ110" s="28">
        <v>104</v>
      </c>
      <c r="AR110" s="28">
        <v>107</v>
      </c>
    </row>
    <row r="111" spans="1:44" x14ac:dyDescent="0.2">
      <c r="A111" s="21" t="s">
        <v>39</v>
      </c>
      <c r="B111" s="21" t="s">
        <v>40</v>
      </c>
      <c r="C111" s="21" t="s">
        <v>41</v>
      </c>
      <c r="D111" s="21">
        <v>2024</v>
      </c>
      <c r="E111" s="21" t="s">
        <v>42</v>
      </c>
      <c r="F111" s="21" t="s">
        <v>43</v>
      </c>
      <c r="G111" s="21" t="s">
        <v>44</v>
      </c>
      <c r="H111" s="21">
        <v>714778</v>
      </c>
      <c r="I111" s="21" t="s">
        <v>45</v>
      </c>
      <c r="J111" s="21">
        <v>2</v>
      </c>
      <c r="K111" s="21" t="s">
        <v>46</v>
      </c>
      <c r="L111" s="21" t="s">
        <v>240</v>
      </c>
      <c r="M111" s="21" t="s">
        <v>240</v>
      </c>
      <c r="N111" s="21" t="s">
        <v>281</v>
      </c>
      <c r="O111" s="21" t="s">
        <v>241</v>
      </c>
      <c r="P111" s="27">
        <v>8.3653218200000004E-2</v>
      </c>
      <c r="Q111" s="27">
        <v>7.8261823699999997E-2</v>
      </c>
      <c r="R111" s="27">
        <v>8.6780967200000003E-2</v>
      </c>
      <c r="S111" s="27">
        <v>7.8106201099999994E-2</v>
      </c>
      <c r="T111" s="27">
        <v>6.8465454800000006E-2</v>
      </c>
      <c r="U111" s="27">
        <v>5.93213982E-2</v>
      </c>
      <c r="V111" s="21" t="s">
        <v>49</v>
      </c>
      <c r="W111" s="21" t="s">
        <v>50</v>
      </c>
      <c r="X111" s="21" t="s">
        <v>51</v>
      </c>
      <c r="Y111" s="27">
        <v>282.82299804690001</v>
      </c>
      <c r="Z111" s="27">
        <v>275.89401245120001</v>
      </c>
      <c r="AA111" s="27">
        <v>284.33322143549998</v>
      </c>
      <c r="AB111" s="27">
        <v>299.33126831049998</v>
      </c>
      <c r="AC111" s="27">
        <v>283.7660522461</v>
      </c>
      <c r="AD111" s="27">
        <v>263.61865234380002</v>
      </c>
      <c r="AE111" s="21" t="s">
        <v>52</v>
      </c>
      <c r="AF111" s="21" t="s">
        <v>53</v>
      </c>
      <c r="AG111" s="27">
        <v>239.59641068639999</v>
      </c>
      <c r="AH111" s="27">
        <v>246.45282806</v>
      </c>
      <c r="AI111" s="27">
        <v>249.49535240239999</v>
      </c>
      <c r="AJ111" s="27">
        <v>253.0476392123</v>
      </c>
      <c r="AK111" s="27">
        <v>269.83754709009997</v>
      </c>
      <c r="AL111" s="27">
        <v>244.2875512</v>
      </c>
      <c r="AM111" s="28">
        <v>107</v>
      </c>
      <c r="AN111" s="28">
        <v>107</v>
      </c>
      <c r="AO111" s="28">
        <v>98</v>
      </c>
      <c r="AP111" s="28">
        <v>102</v>
      </c>
      <c r="AQ111" s="28">
        <v>107</v>
      </c>
      <c r="AR111" s="28">
        <v>108</v>
      </c>
    </row>
    <row r="112" spans="1:44" x14ac:dyDescent="0.2">
      <c r="A112" s="21" t="s">
        <v>39</v>
      </c>
      <c r="B112" s="21" t="s">
        <v>40</v>
      </c>
      <c r="C112" s="21" t="s">
        <v>41</v>
      </c>
      <c r="D112" s="21">
        <v>2024</v>
      </c>
      <c r="E112" s="21" t="s">
        <v>42</v>
      </c>
      <c r="F112" s="21" t="s">
        <v>43</v>
      </c>
      <c r="G112" s="21" t="s">
        <v>44</v>
      </c>
      <c r="H112" s="21">
        <v>714778</v>
      </c>
      <c r="I112" s="21" t="s">
        <v>45</v>
      </c>
      <c r="J112" s="21">
        <v>2</v>
      </c>
      <c r="K112" s="21" t="s">
        <v>46</v>
      </c>
      <c r="L112" s="21" t="s">
        <v>242</v>
      </c>
      <c r="M112" s="21" t="s">
        <v>242</v>
      </c>
      <c r="N112" s="21" t="s">
        <v>243</v>
      </c>
      <c r="O112" s="21" t="s">
        <v>243</v>
      </c>
      <c r="P112" s="27">
        <v>6.3116367100000001E-2</v>
      </c>
      <c r="Q112" s="27">
        <v>6.2418494200000001E-2</v>
      </c>
      <c r="R112" s="27">
        <v>5.5298623900000003E-2</v>
      </c>
      <c r="S112" s="27">
        <v>5.4545968E-2</v>
      </c>
      <c r="T112" s="27">
        <v>5.6538708399999998E-2</v>
      </c>
      <c r="U112" s="27">
        <v>5.71609389E-2</v>
      </c>
      <c r="V112" s="21" t="s">
        <v>49</v>
      </c>
      <c r="W112" s="21" t="s">
        <v>50</v>
      </c>
      <c r="X112" s="21" t="s">
        <v>51</v>
      </c>
      <c r="Y112" s="27">
        <v>213.38999938960001</v>
      </c>
      <c r="Z112" s="27">
        <v>220.0420074463</v>
      </c>
      <c r="AA112" s="27">
        <v>181.18299865719999</v>
      </c>
      <c r="AB112" s="27">
        <v>209.03991699220001</v>
      </c>
      <c r="AC112" s="27">
        <v>234.33374023440001</v>
      </c>
      <c r="AD112" s="27">
        <v>254.01777648929999</v>
      </c>
      <c r="AE112" s="21" t="s">
        <v>52</v>
      </c>
      <c r="AF112" s="21" t="s">
        <v>53</v>
      </c>
      <c r="AG112" s="27">
        <v>180.7755319872</v>
      </c>
      <c r="AH112" s="27">
        <v>196.56089867750001</v>
      </c>
      <c r="AI112" s="27">
        <v>158.98358929380001</v>
      </c>
      <c r="AJ112" s="27">
        <v>176.7174468426</v>
      </c>
      <c r="AK112" s="27">
        <v>222.83159371880001</v>
      </c>
      <c r="AL112" s="27">
        <v>235.39070558220001</v>
      </c>
      <c r="AM112" s="28">
        <v>112</v>
      </c>
      <c r="AN112" s="28">
        <v>112</v>
      </c>
      <c r="AO112" s="28">
        <v>111</v>
      </c>
      <c r="AP112" s="28">
        <v>110</v>
      </c>
      <c r="AQ112" s="28">
        <v>110</v>
      </c>
      <c r="AR112" s="28">
        <v>109</v>
      </c>
    </row>
    <row r="113" spans="1:44" x14ac:dyDescent="0.2">
      <c r="A113" s="21" t="s">
        <v>39</v>
      </c>
      <c r="B113" s="21" t="s">
        <v>40</v>
      </c>
      <c r="C113" s="21" t="s">
        <v>41</v>
      </c>
      <c r="D113" s="21">
        <v>2024</v>
      </c>
      <c r="E113" s="21" t="s">
        <v>42</v>
      </c>
      <c r="F113" s="21" t="s">
        <v>43</v>
      </c>
      <c r="G113" s="21" t="s">
        <v>44</v>
      </c>
      <c r="H113" s="21">
        <v>714778</v>
      </c>
      <c r="I113" s="21" t="s">
        <v>45</v>
      </c>
      <c r="J113" s="21">
        <v>2</v>
      </c>
      <c r="K113" s="21" t="s">
        <v>46</v>
      </c>
      <c r="L113" s="21" t="s">
        <v>244</v>
      </c>
      <c r="M113" s="21" t="s">
        <v>244</v>
      </c>
      <c r="N113" s="21" t="s">
        <v>245</v>
      </c>
      <c r="O113" s="21" t="s">
        <v>245</v>
      </c>
      <c r="P113" s="27">
        <v>5.4784261799999998E-2</v>
      </c>
      <c r="Q113" s="27">
        <v>5.8267888300000001E-2</v>
      </c>
      <c r="R113" s="27">
        <v>5.8743515000000003E-2</v>
      </c>
      <c r="S113" s="27">
        <v>5.50104571E-2</v>
      </c>
      <c r="T113" s="27">
        <v>5.6746296500000001E-2</v>
      </c>
      <c r="U113" s="27">
        <v>5.6465581299999998E-2</v>
      </c>
      <c r="V113" s="21" t="s">
        <v>49</v>
      </c>
      <c r="W113" s="21" t="s">
        <v>50</v>
      </c>
      <c r="X113" s="21" t="s">
        <v>51</v>
      </c>
      <c r="Y113" s="27">
        <v>185.2200012207</v>
      </c>
      <c r="Z113" s="27">
        <v>205.4100036621</v>
      </c>
      <c r="AA113" s="27">
        <v>192.4700012207</v>
      </c>
      <c r="AB113" s="27">
        <v>210.82000732419999</v>
      </c>
      <c r="AC113" s="27">
        <v>235.19412231449999</v>
      </c>
      <c r="AD113" s="27">
        <v>250.92767333980001</v>
      </c>
      <c r="AE113" s="21" t="s">
        <v>52</v>
      </c>
      <c r="AF113" s="21" t="s">
        <v>53</v>
      </c>
      <c r="AG113" s="27">
        <v>156.91102840389999</v>
      </c>
      <c r="AH113" s="27">
        <v>183.4903043548</v>
      </c>
      <c r="AI113" s="27">
        <v>168.88765420729999</v>
      </c>
      <c r="AJ113" s="27">
        <v>178.2222934918</v>
      </c>
      <c r="AK113" s="27">
        <v>223.6497444039</v>
      </c>
      <c r="AL113" s="27">
        <v>232.52719905640001</v>
      </c>
      <c r="AM113" s="28">
        <v>114</v>
      </c>
      <c r="AN113" s="28">
        <v>113</v>
      </c>
      <c r="AO113" s="28">
        <v>109</v>
      </c>
      <c r="AP113" s="28">
        <v>109</v>
      </c>
      <c r="AQ113" s="28">
        <v>109</v>
      </c>
      <c r="AR113" s="28">
        <v>110</v>
      </c>
    </row>
    <row r="114" spans="1:44" x14ac:dyDescent="0.2">
      <c r="A114" s="21" t="s">
        <v>39</v>
      </c>
      <c r="B114" s="21" t="s">
        <v>40</v>
      </c>
      <c r="C114" s="21" t="s">
        <v>41</v>
      </c>
      <c r="D114" s="21">
        <v>2024</v>
      </c>
      <c r="E114" s="21" t="s">
        <v>42</v>
      </c>
      <c r="F114" s="21" t="s">
        <v>43</v>
      </c>
      <c r="G114" s="21" t="s">
        <v>44</v>
      </c>
      <c r="H114" s="21">
        <v>714778</v>
      </c>
      <c r="I114" s="21" t="s">
        <v>45</v>
      </c>
      <c r="J114" s="21">
        <v>2</v>
      </c>
      <c r="K114" s="21" t="s">
        <v>46</v>
      </c>
      <c r="L114" s="21" t="s">
        <v>246</v>
      </c>
      <c r="M114" s="21" t="s">
        <v>246</v>
      </c>
      <c r="N114" s="21" t="s">
        <v>247</v>
      </c>
      <c r="O114" s="21" t="s">
        <v>247</v>
      </c>
      <c r="P114" s="27">
        <v>7.2335530800000006E-2</v>
      </c>
      <c r="Q114" s="27">
        <v>6.8681274400000006E-2</v>
      </c>
      <c r="R114" s="27">
        <v>4.66755612E-2</v>
      </c>
      <c r="S114" s="27">
        <v>5.1438247300000003E-2</v>
      </c>
      <c r="T114" s="27">
        <v>4.9131433600000003E-2</v>
      </c>
      <c r="U114" s="27">
        <v>4.67486493E-2</v>
      </c>
      <c r="V114" s="21" t="s">
        <v>49</v>
      </c>
      <c r="W114" s="21" t="s">
        <v>50</v>
      </c>
      <c r="X114" s="21" t="s">
        <v>51</v>
      </c>
      <c r="Y114" s="27">
        <v>244.55905151370001</v>
      </c>
      <c r="Z114" s="27">
        <v>242.11999511720001</v>
      </c>
      <c r="AA114" s="27">
        <v>152.92999267580001</v>
      </c>
      <c r="AB114" s="27">
        <v>197.13000488279999</v>
      </c>
      <c r="AC114" s="27">
        <v>203.633102417</v>
      </c>
      <c r="AD114" s="27">
        <v>207.74655151370001</v>
      </c>
      <c r="AE114" s="21" t="s">
        <v>52</v>
      </c>
      <c r="AF114" s="21" t="s">
        <v>53</v>
      </c>
      <c r="AG114" s="27">
        <v>207.1807149638</v>
      </c>
      <c r="AH114" s="27">
        <v>216.2829015257</v>
      </c>
      <c r="AI114" s="27">
        <v>134.19227701529999</v>
      </c>
      <c r="AJ114" s="27">
        <v>166.64908626170001</v>
      </c>
      <c r="AK114" s="27">
        <v>193.63788031589999</v>
      </c>
      <c r="AL114" s="27">
        <v>192.51253994480001</v>
      </c>
      <c r="AM114" s="28">
        <v>110</v>
      </c>
      <c r="AN114" s="28">
        <v>110</v>
      </c>
      <c r="AO114" s="28">
        <v>114</v>
      </c>
      <c r="AP114" s="28">
        <v>111</v>
      </c>
      <c r="AQ114" s="28">
        <v>111</v>
      </c>
      <c r="AR114" s="28">
        <v>111</v>
      </c>
    </row>
    <row r="115" spans="1:44" x14ac:dyDescent="0.2">
      <c r="A115" s="21" t="s">
        <v>39</v>
      </c>
      <c r="B115" s="21" t="s">
        <v>40</v>
      </c>
      <c r="C115" s="21" t="s">
        <v>41</v>
      </c>
      <c r="D115" s="21">
        <v>2024</v>
      </c>
      <c r="E115" s="21" t="s">
        <v>42</v>
      </c>
      <c r="F115" s="21" t="s">
        <v>43</v>
      </c>
      <c r="G115" s="21" t="s">
        <v>44</v>
      </c>
      <c r="H115" s="21">
        <v>714778</v>
      </c>
      <c r="I115" s="21" t="s">
        <v>45</v>
      </c>
      <c r="J115" s="21">
        <v>2</v>
      </c>
      <c r="K115" s="21" t="s">
        <v>46</v>
      </c>
      <c r="L115" s="21" t="s">
        <v>248</v>
      </c>
      <c r="M115" s="21" t="s">
        <v>248</v>
      </c>
      <c r="N115" s="21" t="s">
        <v>249</v>
      </c>
      <c r="O115" s="21" t="s">
        <v>249</v>
      </c>
      <c r="P115" s="27">
        <v>0.1013221924</v>
      </c>
      <c r="Q115" s="27">
        <v>8.1298753000000001E-2</v>
      </c>
      <c r="R115" s="27">
        <v>6.5726691099999998E-2</v>
      </c>
      <c r="S115" s="27">
        <v>5.5591036500000003E-2</v>
      </c>
      <c r="T115" s="27">
        <v>4.6573968799999997E-2</v>
      </c>
      <c r="U115" s="27">
        <v>4.1092125299999997E-2</v>
      </c>
      <c r="V115" s="21" t="s">
        <v>49</v>
      </c>
      <c r="W115" s="21" t="s">
        <v>50</v>
      </c>
      <c r="X115" s="21" t="s">
        <v>51</v>
      </c>
      <c r="Y115" s="27">
        <v>342.5599975586</v>
      </c>
      <c r="Z115" s="27">
        <v>286.60000610349999</v>
      </c>
      <c r="AA115" s="27">
        <v>215.35000610349999</v>
      </c>
      <c r="AB115" s="27">
        <v>213.04499816890001</v>
      </c>
      <c r="AC115" s="27">
        <v>193.03327941890001</v>
      </c>
      <c r="AD115" s="27">
        <v>182.60949707029999</v>
      </c>
      <c r="AE115" s="21" t="s">
        <v>52</v>
      </c>
      <c r="AF115" s="21" t="s">
        <v>53</v>
      </c>
      <c r="AG115" s="27">
        <v>290.20322401850001</v>
      </c>
      <c r="AH115" s="27">
        <v>256.01636439549998</v>
      </c>
      <c r="AI115" s="27">
        <v>188.9642912333</v>
      </c>
      <c r="AJ115" s="27">
        <v>180.1032486078</v>
      </c>
      <c r="AK115" s="27">
        <v>183.55834396989999</v>
      </c>
      <c r="AL115" s="27">
        <v>169.21878049439999</v>
      </c>
      <c r="AM115" s="28">
        <v>103</v>
      </c>
      <c r="AN115" s="28">
        <v>106</v>
      </c>
      <c r="AO115" s="28">
        <v>106</v>
      </c>
      <c r="AP115" s="28">
        <v>108</v>
      </c>
      <c r="AQ115" s="28">
        <v>112</v>
      </c>
      <c r="AR115" s="28">
        <v>112</v>
      </c>
    </row>
    <row r="116" spans="1:44" x14ac:dyDescent="0.2">
      <c r="A116" s="21" t="s">
        <v>39</v>
      </c>
      <c r="B116" s="21" t="s">
        <v>40</v>
      </c>
      <c r="C116" s="21" t="s">
        <v>41</v>
      </c>
      <c r="D116" s="21">
        <v>2024</v>
      </c>
      <c r="E116" s="21" t="s">
        <v>42</v>
      </c>
      <c r="F116" s="21" t="s">
        <v>43</v>
      </c>
      <c r="G116" s="21" t="s">
        <v>44</v>
      </c>
      <c r="H116" s="21">
        <v>714778</v>
      </c>
      <c r="I116" s="21" t="s">
        <v>45</v>
      </c>
      <c r="J116" s="21">
        <v>2</v>
      </c>
      <c r="K116" s="21" t="s">
        <v>46</v>
      </c>
      <c r="L116" s="21" t="s">
        <v>250</v>
      </c>
      <c r="M116" s="21" t="s">
        <v>250</v>
      </c>
      <c r="N116" s="21" t="s">
        <v>251</v>
      </c>
      <c r="O116" s="21" t="s">
        <v>251</v>
      </c>
      <c r="P116" s="27">
        <v>5.0874057700000003E-2</v>
      </c>
      <c r="Q116" s="27">
        <v>4.76933774E-2</v>
      </c>
      <c r="R116" s="27">
        <v>4.0058331900000001E-2</v>
      </c>
      <c r="S116" s="27">
        <v>3.9401284199999997E-2</v>
      </c>
      <c r="T116" s="27">
        <v>3.8764093999999999E-2</v>
      </c>
      <c r="U116" s="27">
        <v>3.8359167600000001E-2</v>
      </c>
      <c r="V116" s="21" t="s">
        <v>49</v>
      </c>
      <c r="W116" s="21" t="s">
        <v>50</v>
      </c>
      <c r="X116" s="21" t="s">
        <v>51</v>
      </c>
      <c r="Y116" s="27">
        <v>172</v>
      </c>
      <c r="Z116" s="27">
        <v>168.13200378420001</v>
      </c>
      <c r="AA116" s="27">
        <v>131.24899291989999</v>
      </c>
      <c r="AB116" s="27">
        <v>151</v>
      </c>
      <c r="AC116" s="27">
        <v>160.66400146480001</v>
      </c>
      <c r="AD116" s="27">
        <v>170.46449279789999</v>
      </c>
      <c r="AE116" s="21" t="s">
        <v>52</v>
      </c>
      <c r="AF116" s="21" t="s">
        <v>53</v>
      </c>
      <c r="AG116" s="27">
        <v>145.7115684462</v>
      </c>
      <c r="AH116" s="27">
        <v>150.19031204000001</v>
      </c>
      <c r="AI116" s="27">
        <v>115.16773726149999</v>
      </c>
      <c r="AJ116" s="27">
        <v>127.65186121959999</v>
      </c>
      <c r="AK116" s="27">
        <v>152.7778947404</v>
      </c>
      <c r="AL116" s="27">
        <v>157.9643668683</v>
      </c>
      <c r="AM116" s="28">
        <v>115</v>
      </c>
      <c r="AN116" s="28">
        <v>115</v>
      </c>
      <c r="AO116" s="28">
        <v>115</v>
      </c>
      <c r="AP116" s="28">
        <v>114</v>
      </c>
      <c r="AQ116" s="28">
        <v>113</v>
      </c>
      <c r="AR116" s="28">
        <v>113</v>
      </c>
    </row>
    <row r="117" spans="1:44" x14ac:dyDescent="0.2">
      <c r="A117" s="21" t="s">
        <v>39</v>
      </c>
      <c r="B117" s="21" t="s">
        <v>40</v>
      </c>
      <c r="C117" s="21" t="s">
        <v>41</v>
      </c>
      <c r="D117" s="21">
        <v>2024</v>
      </c>
      <c r="E117" s="21" t="s">
        <v>42</v>
      </c>
      <c r="F117" s="21" t="s">
        <v>43</v>
      </c>
      <c r="G117" s="21" t="s">
        <v>44</v>
      </c>
      <c r="H117" s="21">
        <v>714778</v>
      </c>
      <c r="I117" s="21" t="s">
        <v>45</v>
      </c>
      <c r="J117" s="21">
        <v>2</v>
      </c>
      <c r="K117" s="21" t="s">
        <v>46</v>
      </c>
      <c r="L117" s="21" t="s">
        <v>268</v>
      </c>
      <c r="M117" s="21" t="s">
        <v>268</v>
      </c>
      <c r="N117" s="21" t="s">
        <v>298</v>
      </c>
      <c r="O117" s="21" t="s">
        <v>299</v>
      </c>
      <c r="P117" s="27">
        <v>6.2551427399999998E-2</v>
      </c>
      <c r="Q117" s="27">
        <v>5.7399584599999998E-2</v>
      </c>
      <c r="R117" s="27">
        <v>5.0750098899999999E-2</v>
      </c>
      <c r="S117" s="27">
        <v>3.1208947300000001E-2</v>
      </c>
      <c r="T117" s="27">
        <v>3.3141437599999997E-2</v>
      </c>
      <c r="U117" s="27">
        <v>3.2204785800000003E-2</v>
      </c>
      <c r="V117" s="21" t="s">
        <v>49</v>
      </c>
      <c r="W117" s="21" t="s">
        <v>50</v>
      </c>
      <c r="X117" s="21" t="s">
        <v>51</v>
      </c>
      <c r="Y117" s="27">
        <v>211.47999572750001</v>
      </c>
      <c r="Z117" s="27">
        <v>202.34899902340001</v>
      </c>
      <c r="AA117" s="27">
        <v>166.2799987793</v>
      </c>
      <c r="AB117" s="27">
        <v>119.60399627690001</v>
      </c>
      <c r="AC117" s="27">
        <v>137.36000061039999</v>
      </c>
      <c r="AD117" s="27">
        <v>143.11500549319999</v>
      </c>
      <c r="AE117" s="21" t="s">
        <v>52</v>
      </c>
      <c r="AF117" s="21" t="s">
        <v>53</v>
      </c>
      <c r="AG117" s="27">
        <v>179.1574527468</v>
      </c>
      <c r="AH117" s="27">
        <v>180.7559454494</v>
      </c>
      <c r="AI117" s="27">
        <v>145.90657638760001</v>
      </c>
      <c r="AJ117" s="27">
        <v>101.11041545720001</v>
      </c>
      <c r="AK117" s="27">
        <v>130.6177583246</v>
      </c>
      <c r="AL117" s="27">
        <v>132.62041179970001</v>
      </c>
      <c r="AM117" s="28">
        <v>113</v>
      </c>
      <c r="AN117" s="28">
        <v>114</v>
      </c>
      <c r="AO117" s="28">
        <v>112</v>
      </c>
      <c r="AP117" s="28">
        <v>115</v>
      </c>
      <c r="AQ117" s="28">
        <v>114</v>
      </c>
      <c r="AR117" s="28">
        <v>114</v>
      </c>
    </row>
    <row r="118" spans="1:44" x14ac:dyDescent="0.2">
      <c r="A118" s="21" t="s">
        <v>39</v>
      </c>
      <c r="B118" s="21" t="s">
        <v>40</v>
      </c>
      <c r="C118" s="21" t="s">
        <v>41</v>
      </c>
      <c r="D118" s="21">
        <v>2024</v>
      </c>
      <c r="E118" s="21" t="s">
        <v>42</v>
      </c>
      <c r="F118" s="21" t="s">
        <v>43</v>
      </c>
      <c r="G118" s="21" t="s">
        <v>44</v>
      </c>
      <c r="H118" s="21">
        <v>714778</v>
      </c>
      <c r="I118" s="21" t="s">
        <v>45</v>
      </c>
      <c r="J118" s="21">
        <v>2</v>
      </c>
      <c r="K118" s="21" t="s">
        <v>46</v>
      </c>
      <c r="L118" s="21" t="s">
        <v>252</v>
      </c>
      <c r="M118" s="21" t="s">
        <v>252</v>
      </c>
      <c r="N118" s="21" t="s">
        <v>281</v>
      </c>
      <c r="O118" s="21" t="s">
        <v>176</v>
      </c>
      <c r="P118" s="27">
        <v>3.3309788299999997E-2</v>
      </c>
      <c r="Q118" s="27">
        <v>3.2999463999999999E-2</v>
      </c>
      <c r="R118" s="27">
        <v>2.73784402E-2</v>
      </c>
      <c r="S118" s="27">
        <v>3.1018650599999999E-2</v>
      </c>
      <c r="T118" s="27">
        <v>3.1578235199999999E-2</v>
      </c>
      <c r="U118" s="27">
        <v>3.0983308000000001E-2</v>
      </c>
      <c r="V118" s="21" t="s">
        <v>49</v>
      </c>
      <c r="W118" s="21" t="s">
        <v>50</v>
      </c>
      <c r="X118" s="21" t="s">
        <v>51</v>
      </c>
      <c r="Y118" s="27">
        <v>112.6169967651</v>
      </c>
      <c r="Z118" s="27">
        <v>116.3320007324</v>
      </c>
      <c r="AA118" s="27">
        <v>89.704002380399999</v>
      </c>
      <c r="AB118" s="27">
        <v>118.874710083</v>
      </c>
      <c r="AC118" s="27">
        <v>130.88105773929999</v>
      </c>
      <c r="AD118" s="27">
        <v>137.68687438960001</v>
      </c>
      <c r="AE118" s="21" t="s">
        <v>52</v>
      </c>
      <c r="AF118" s="21" t="s">
        <v>53</v>
      </c>
      <c r="AG118" s="27">
        <v>95.404646699699995</v>
      </c>
      <c r="AH118" s="27">
        <v>103.9179876347</v>
      </c>
      <c r="AI118" s="27">
        <v>78.713038078300002</v>
      </c>
      <c r="AJ118" s="27">
        <v>100.4938940002</v>
      </c>
      <c r="AK118" s="27">
        <v>124.4568309048</v>
      </c>
      <c r="AL118" s="27">
        <v>127.59032442500001</v>
      </c>
      <c r="AM118" s="28">
        <v>117</v>
      </c>
      <c r="AN118" s="28">
        <v>117</v>
      </c>
      <c r="AO118" s="28">
        <v>119</v>
      </c>
      <c r="AP118" s="28">
        <v>116</v>
      </c>
      <c r="AQ118" s="28">
        <v>115</v>
      </c>
      <c r="AR118" s="28">
        <v>115</v>
      </c>
    </row>
    <row r="119" spans="1:44" x14ac:dyDescent="0.2">
      <c r="A119" s="21" t="s">
        <v>39</v>
      </c>
      <c r="B119" s="21" t="s">
        <v>40</v>
      </c>
      <c r="C119" s="21" t="s">
        <v>41</v>
      </c>
      <c r="D119" s="21">
        <v>2024</v>
      </c>
      <c r="E119" s="21" t="s">
        <v>42</v>
      </c>
      <c r="F119" s="21" t="s">
        <v>43</v>
      </c>
      <c r="G119" s="21" t="s">
        <v>44</v>
      </c>
      <c r="H119" s="21">
        <v>714778</v>
      </c>
      <c r="I119" s="21" t="s">
        <v>45</v>
      </c>
      <c r="J119" s="21">
        <v>2</v>
      </c>
      <c r="K119" s="21" t="s">
        <v>46</v>
      </c>
      <c r="L119" s="21" t="s">
        <v>253</v>
      </c>
      <c r="M119" s="21" t="s">
        <v>253</v>
      </c>
      <c r="N119" s="21" t="s">
        <v>254</v>
      </c>
      <c r="O119" s="21" t="s">
        <v>254</v>
      </c>
      <c r="P119" s="27">
        <v>3.8270305800000001E-2</v>
      </c>
      <c r="Q119" s="27">
        <v>3.5239860900000003E-2</v>
      </c>
      <c r="R119" s="27">
        <v>3.2153734000000003E-2</v>
      </c>
      <c r="S119" s="27">
        <v>2.92228127E-2</v>
      </c>
      <c r="T119" s="27">
        <v>2.61832405E-2</v>
      </c>
      <c r="U119" s="27">
        <v>2.46887306E-2</v>
      </c>
      <c r="V119" s="21" t="s">
        <v>49</v>
      </c>
      <c r="W119" s="21" t="s">
        <v>50</v>
      </c>
      <c r="X119" s="21" t="s">
        <v>51</v>
      </c>
      <c r="Y119" s="27">
        <v>129.38800048830001</v>
      </c>
      <c r="Z119" s="27">
        <v>124.2300033569</v>
      </c>
      <c r="AA119" s="27">
        <v>105.3499984741</v>
      </c>
      <c r="AB119" s="27">
        <v>111.9924087524</v>
      </c>
      <c r="AC119" s="27">
        <v>108.5206375122</v>
      </c>
      <c r="AD119" s="27">
        <v>109.7143707275</v>
      </c>
      <c r="AE119" s="21" t="s">
        <v>52</v>
      </c>
      <c r="AF119" s="21" t="s">
        <v>53</v>
      </c>
      <c r="AG119" s="27">
        <v>109.61237493759999</v>
      </c>
      <c r="AH119" s="27">
        <v>110.97317910309999</v>
      </c>
      <c r="AI119" s="27">
        <v>92.442011743099997</v>
      </c>
      <c r="AJ119" s="27">
        <v>94.675757746399995</v>
      </c>
      <c r="AK119" s="27">
        <v>103.19395996510001</v>
      </c>
      <c r="AL119" s="27">
        <v>101.6690386594</v>
      </c>
      <c r="AM119" s="28">
        <v>116</v>
      </c>
      <c r="AN119" s="28">
        <v>116</v>
      </c>
      <c r="AO119" s="28">
        <v>116</v>
      </c>
      <c r="AP119" s="28">
        <v>117</v>
      </c>
      <c r="AQ119" s="28">
        <v>117</v>
      </c>
      <c r="AR119" s="28">
        <v>116</v>
      </c>
    </row>
    <row r="120" spans="1:44" x14ac:dyDescent="0.2">
      <c r="A120" s="21" t="s">
        <v>39</v>
      </c>
      <c r="B120" s="21" t="s">
        <v>40</v>
      </c>
      <c r="C120" s="21" t="s">
        <v>41</v>
      </c>
      <c r="D120" s="21">
        <v>2024</v>
      </c>
      <c r="E120" s="21" t="s">
        <v>42</v>
      </c>
      <c r="F120" s="21" t="s">
        <v>43</v>
      </c>
      <c r="G120" s="21" t="s">
        <v>44</v>
      </c>
      <c r="H120" s="21">
        <v>714778</v>
      </c>
      <c r="I120" s="21" t="s">
        <v>45</v>
      </c>
      <c r="J120" s="21">
        <v>2</v>
      </c>
      <c r="K120" s="21" t="s">
        <v>46</v>
      </c>
      <c r="L120" s="21" t="s">
        <v>274</v>
      </c>
      <c r="M120" s="21" t="s">
        <v>274</v>
      </c>
      <c r="N120" s="21" t="s">
        <v>300</v>
      </c>
      <c r="O120" s="21" t="s">
        <v>301</v>
      </c>
      <c r="P120" s="27">
        <v>6.6685930300000001E-2</v>
      </c>
      <c r="Q120" s="27">
        <v>6.4063187999999993E-2</v>
      </c>
      <c r="R120" s="27">
        <v>2.9507919899999999E-2</v>
      </c>
      <c r="S120" s="27">
        <v>2.8615192500000001E-2</v>
      </c>
      <c r="T120" s="27">
        <v>2.6606731500000001E-2</v>
      </c>
      <c r="U120" s="27">
        <v>2.1102745700000002E-2</v>
      </c>
      <c r="V120" s="21" t="s">
        <v>49</v>
      </c>
      <c r="W120" s="21" t="s">
        <v>50</v>
      </c>
      <c r="X120" s="21" t="s">
        <v>51</v>
      </c>
      <c r="Y120" s="27">
        <v>225.45832824710001</v>
      </c>
      <c r="Z120" s="27">
        <v>225.8399963379</v>
      </c>
      <c r="AA120" s="27">
        <v>96.681129455600001</v>
      </c>
      <c r="AB120" s="27">
        <v>109.6637878418</v>
      </c>
      <c r="AC120" s="27">
        <v>110.2758636475</v>
      </c>
      <c r="AD120" s="27">
        <v>93.778594970699999</v>
      </c>
      <c r="AE120" s="21" t="s">
        <v>52</v>
      </c>
      <c r="AF120" s="21" t="s">
        <v>53</v>
      </c>
      <c r="AG120" s="27">
        <v>190.99934086120001</v>
      </c>
      <c r="AH120" s="27">
        <v>201.74017294550001</v>
      </c>
      <c r="AI120" s="27">
        <v>84.835294104499994</v>
      </c>
      <c r="AJ120" s="27">
        <v>92.707196201299993</v>
      </c>
      <c r="AK120" s="27">
        <v>104.86303176280001</v>
      </c>
      <c r="AL120" s="27">
        <v>86.901830036299998</v>
      </c>
      <c r="AM120" s="28">
        <v>111</v>
      </c>
      <c r="AN120" s="28">
        <v>111</v>
      </c>
      <c r="AO120" s="28">
        <v>117</v>
      </c>
      <c r="AP120" s="28">
        <v>118</v>
      </c>
      <c r="AQ120" s="28">
        <v>116</v>
      </c>
      <c r="AR120" s="28">
        <v>117</v>
      </c>
    </row>
    <row r="121" spans="1:44" x14ac:dyDescent="0.2">
      <c r="A121" s="21" t="s">
        <v>39</v>
      </c>
      <c r="B121" s="21" t="s">
        <v>40</v>
      </c>
      <c r="C121" s="21" t="s">
        <v>41</v>
      </c>
      <c r="D121" s="21">
        <v>2024</v>
      </c>
      <c r="E121" s="21" t="s">
        <v>42</v>
      </c>
      <c r="F121" s="21" t="s">
        <v>43</v>
      </c>
      <c r="G121" s="21" t="s">
        <v>44</v>
      </c>
      <c r="H121" s="21">
        <v>714778</v>
      </c>
      <c r="I121" s="21" t="s">
        <v>45</v>
      </c>
      <c r="J121" s="21">
        <v>2</v>
      </c>
      <c r="K121" s="21" t="s">
        <v>46</v>
      </c>
      <c r="L121" s="21" t="s">
        <v>255</v>
      </c>
      <c r="M121" s="21" t="s">
        <v>255</v>
      </c>
      <c r="N121" s="21" t="s">
        <v>281</v>
      </c>
      <c r="O121" s="21" t="s">
        <v>256</v>
      </c>
      <c r="P121" s="27">
        <v>3.3074348599999998E-2</v>
      </c>
      <c r="Q121" s="27">
        <v>3.0730133900000001E-2</v>
      </c>
      <c r="R121" s="27">
        <v>2.81500077E-2</v>
      </c>
      <c r="S121" s="27">
        <v>2.37577265E-2</v>
      </c>
      <c r="T121" s="27">
        <v>1.8738360499999999E-2</v>
      </c>
      <c r="U121" s="27">
        <v>1.40511466E-2</v>
      </c>
      <c r="V121" s="21" t="s">
        <v>49</v>
      </c>
      <c r="W121" s="21" t="s">
        <v>50</v>
      </c>
      <c r="X121" s="21" t="s">
        <v>51</v>
      </c>
      <c r="Y121" s="27">
        <v>111.8209991455</v>
      </c>
      <c r="Z121" s="27">
        <v>108.3320007324</v>
      </c>
      <c r="AA121" s="27">
        <v>92.2320022583</v>
      </c>
      <c r="AB121" s="27">
        <v>91.048217773399998</v>
      </c>
      <c r="AC121" s="27">
        <v>77.664138793899994</v>
      </c>
      <c r="AD121" s="27">
        <v>62.441959381099998</v>
      </c>
      <c r="AE121" s="21" t="s">
        <v>52</v>
      </c>
      <c r="AF121" s="21" t="s">
        <v>53</v>
      </c>
      <c r="AG121" s="27">
        <v>94.730309132000002</v>
      </c>
      <c r="AH121" s="27">
        <v>96.771683128199996</v>
      </c>
      <c r="AI121" s="27">
        <v>80.9312952951</v>
      </c>
      <c r="AJ121" s="27">
        <v>76.970029533100004</v>
      </c>
      <c r="AK121" s="27">
        <v>73.852036010500001</v>
      </c>
      <c r="AL121" s="27">
        <v>57.8631034402</v>
      </c>
      <c r="AM121" s="28">
        <v>118</v>
      </c>
      <c r="AN121" s="28">
        <v>118</v>
      </c>
      <c r="AO121" s="28">
        <v>118</v>
      </c>
      <c r="AP121" s="28">
        <v>119</v>
      </c>
      <c r="AQ121" s="28">
        <v>118</v>
      </c>
      <c r="AR121" s="28">
        <v>118</v>
      </c>
    </row>
    <row r="122" spans="1:44" x14ac:dyDescent="0.2">
      <c r="A122" s="21" t="s">
        <v>39</v>
      </c>
      <c r="B122" s="21" t="s">
        <v>40</v>
      </c>
      <c r="C122" s="21" t="s">
        <v>41</v>
      </c>
      <c r="D122" s="21">
        <v>2024</v>
      </c>
      <c r="E122" s="21" t="s">
        <v>42</v>
      </c>
      <c r="F122" s="21" t="s">
        <v>43</v>
      </c>
      <c r="G122" s="21" t="s">
        <v>44</v>
      </c>
      <c r="H122" s="21">
        <v>714778</v>
      </c>
      <c r="I122" s="21" t="s">
        <v>45</v>
      </c>
      <c r="J122" s="21">
        <v>2</v>
      </c>
      <c r="K122" s="21" t="s">
        <v>46</v>
      </c>
      <c r="L122" s="21" t="s">
        <v>257</v>
      </c>
      <c r="M122" s="21" t="s">
        <v>257</v>
      </c>
      <c r="N122" s="21" t="s">
        <v>281</v>
      </c>
      <c r="O122" s="21" t="s">
        <v>258</v>
      </c>
      <c r="P122" s="27">
        <v>1.03842239E-2</v>
      </c>
      <c r="Q122" s="27">
        <v>7.9330106000000001E-3</v>
      </c>
      <c r="R122" s="27">
        <v>6.2552522000000003E-3</v>
      </c>
      <c r="S122" s="27">
        <v>5.5572065999999996E-3</v>
      </c>
      <c r="T122" s="27">
        <v>5.4372322000000002E-3</v>
      </c>
      <c r="U122" s="27">
        <v>5.2587310999999996E-3</v>
      </c>
      <c r="V122" s="21" t="s">
        <v>49</v>
      </c>
      <c r="W122" s="21" t="s">
        <v>50</v>
      </c>
      <c r="X122" s="21" t="s">
        <v>51</v>
      </c>
      <c r="Y122" s="27">
        <v>35.108001709</v>
      </c>
      <c r="Z122" s="27">
        <v>27.965999603299998</v>
      </c>
      <c r="AA122" s="27">
        <v>20.495000839199999</v>
      </c>
      <c r="AB122" s="27">
        <v>21.297229766800001</v>
      </c>
      <c r="AC122" s="27">
        <v>22.5354804993</v>
      </c>
      <c r="AD122" s="27">
        <v>23.369300842299999</v>
      </c>
      <c r="AE122" s="21" t="s">
        <v>52</v>
      </c>
      <c r="AF122" s="21" t="s">
        <v>53</v>
      </c>
      <c r="AG122" s="27">
        <v>29.742104616399999</v>
      </c>
      <c r="AH122" s="27">
        <v>24.981693623999998</v>
      </c>
      <c r="AI122" s="27">
        <v>17.9838551086</v>
      </c>
      <c r="AJ122" s="27">
        <v>18.0041789309</v>
      </c>
      <c r="AK122" s="27">
        <v>21.4293384719</v>
      </c>
      <c r="AL122" s="27">
        <v>21.655634854599999</v>
      </c>
      <c r="AM122" s="28">
        <v>121</v>
      </c>
      <c r="AN122" s="28">
        <v>122</v>
      </c>
      <c r="AO122" s="28">
        <v>122</v>
      </c>
      <c r="AP122" s="28">
        <v>122</v>
      </c>
      <c r="AQ122" s="28">
        <v>120</v>
      </c>
      <c r="AR122" s="28">
        <v>119</v>
      </c>
    </row>
    <row r="123" spans="1:44" x14ac:dyDescent="0.2">
      <c r="A123" s="21" t="s">
        <v>39</v>
      </c>
      <c r="B123" s="21" t="s">
        <v>40</v>
      </c>
      <c r="C123" s="21" t="s">
        <v>41</v>
      </c>
      <c r="D123" s="21">
        <v>2024</v>
      </c>
      <c r="E123" s="21" t="s">
        <v>42</v>
      </c>
      <c r="F123" s="21" t="s">
        <v>43</v>
      </c>
      <c r="G123" s="21" t="s">
        <v>44</v>
      </c>
      <c r="H123" s="21">
        <v>714778</v>
      </c>
      <c r="I123" s="21" t="s">
        <v>45</v>
      </c>
      <c r="J123" s="21">
        <v>2</v>
      </c>
      <c r="K123" s="21" t="s">
        <v>46</v>
      </c>
      <c r="L123" s="21" t="s">
        <v>259</v>
      </c>
      <c r="M123" s="21" t="s">
        <v>259</v>
      </c>
      <c r="N123" s="21" t="s">
        <v>281</v>
      </c>
      <c r="O123" s="21" t="s">
        <v>211</v>
      </c>
      <c r="P123" s="27">
        <v>9.8784401999999997E-3</v>
      </c>
      <c r="Q123" s="27">
        <v>8.3386534999999994E-3</v>
      </c>
      <c r="R123" s="27">
        <v>8.2436864999999998E-3</v>
      </c>
      <c r="S123" s="27">
        <v>6.5113651000000003E-3</v>
      </c>
      <c r="T123" s="27">
        <v>5.1744410999999997E-3</v>
      </c>
      <c r="U123" s="27">
        <v>4.3935527E-3</v>
      </c>
      <c r="V123" s="21" t="s">
        <v>49</v>
      </c>
      <c r="W123" s="21" t="s">
        <v>50</v>
      </c>
      <c r="X123" s="21" t="s">
        <v>51</v>
      </c>
      <c r="Y123" s="27">
        <v>33.397998809800001</v>
      </c>
      <c r="Z123" s="27">
        <v>29.3959999084</v>
      </c>
      <c r="AA123" s="27">
        <v>27.010000228900001</v>
      </c>
      <c r="AB123" s="27">
        <v>24.953910827600001</v>
      </c>
      <c r="AC123" s="27">
        <v>21.4463005066</v>
      </c>
      <c r="AD123" s="27">
        <v>19.524530410800001</v>
      </c>
      <c r="AE123" s="21" t="s">
        <v>52</v>
      </c>
      <c r="AF123" s="21" t="s">
        <v>53</v>
      </c>
      <c r="AG123" s="27">
        <v>28.293458078699999</v>
      </c>
      <c r="AH123" s="27">
        <v>26.259095827100001</v>
      </c>
      <c r="AI123" s="27">
        <v>23.700605548199999</v>
      </c>
      <c r="AJ123" s="27">
        <v>21.095451402999998</v>
      </c>
      <c r="AK123" s="27">
        <v>20.393620297599998</v>
      </c>
      <c r="AL123" s="27">
        <v>18.092800642</v>
      </c>
      <c r="AM123" s="28">
        <v>122</v>
      </c>
      <c r="AN123" s="28">
        <v>121</v>
      </c>
      <c r="AO123" s="28">
        <v>121</v>
      </c>
      <c r="AP123" s="28">
        <v>120</v>
      </c>
      <c r="AQ123" s="28">
        <v>121</v>
      </c>
      <c r="AR123" s="28">
        <v>120</v>
      </c>
    </row>
    <row r="124" spans="1:44" x14ac:dyDescent="0.2">
      <c r="A124" s="21" t="s">
        <v>39</v>
      </c>
      <c r="B124" s="21" t="s">
        <v>40</v>
      </c>
      <c r="C124" s="21" t="s">
        <v>41</v>
      </c>
      <c r="D124" s="21">
        <v>2024</v>
      </c>
      <c r="E124" s="21" t="s">
        <v>42</v>
      </c>
      <c r="F124" s="21" t="s">
        <v>43</v>
      </c>
      <c r="G124" s="21" t="s">
        <v>44</v>
      </c>
      <c r="H124" s="21">
        <v>714778</v>
      </c>
      <c r="I124" s="21" t="s">
        <v>45</v>
      </c>
      <c r="J124" s="21">
        <v>2</v>
      </c>
      <c r="K124" s="21" t="s">
        <v>46</v>
      </c>
      <c r="L124" s="21" t="s">
        <v>260</v>
      </c>
      <c r="M124" s="21" t="s">
        <v>260</v>
      </c>
      <c r="N124" s="21" t="s">
        <v>261</v>
      </c>
      <c r="O124" s="21" t="s">
        <v>261</v>
      </c>
      <c r="P124" s="27">
        <v>1.1242574700000001E-2</v>
      </c>
      <c r="Q124" s="27">
        <v>9.7042225999999995E-3</v>
      </c>
      <c r="R124" s="27">
        <v>8.3712635000000001E-3</v>
      </c>
      <c r="S124" s="27">
        <v>6.0015201000000002E-3</v>
      </c>
      <c r="T124" s="27">
        <v>3.7735300999999998E-3</v>
      </c>
      <c r="U124" s="27">
        <v>2.6043760999999999E-3</v>
      </c>
      <c r="V124" s="21" t="s">
        <v>49</v>
      </c>
      <c r="W124" s="21" t="s">
        <v>50</v>
      </c>
      <c r="X124" s="21" t="s">
        <v>51</v>
      </c>
      <c r="Y124" s="27">
        <v>38.009998321499999</v>
      </c>
      <c r="Z124" s="27">
        <v>34.209999084499998</v>
      </c>
      <c r="AA124" s="27">
        <v>27.4279994965</v>
      </c>
      <c r="AB124" s="27">
        <v>23</v>
      </c>
      <c r="AC124" s="27">
        <v>15.640000343300001</v>
      </c>
      <c r="AD124" s="27">
        <v>11.5735998154</v>
      </c>
      <c r="AE124" s="21" t="s">
        <v>52</v>
      </c>
      <c r="AF124" s="21" t="s">
        <v>53</v>
      </c>
      <c r="AG124" s="27">
        <v>32.2005608841</v>
      </c>
      <c r="AH124" s="27">
        <v>30.559383827800001</v>
      </c>
      <c r="AI124" s="27">
        <v>24.067389542099999</v>
      </c>
      <c r="AJ124" s="27">
        <v>19.443660980499999</v>
      </c>
      <c r="AK124" s="27">
        <v>14.872319277500001</v>
      </c>
      <c r="AL124" s="27">
        <v>10.7249101394</v>
      </c>
      <c r="AM124" s="28">
        <v>120</v>
      </c>
      <c r="AN124" s="28">
        <v>120</v>
      </c>
      <c r="AO124" s="28">
        <v>120</v>
      </c>
      <c r="AP124" s="28">
        <v>121</v>
      </c>
      <c r="AQ124" s="28">
        <v>122</v>
      </c>
      <c r="AR124" s="28">
        <v>121</v>
      </c>
    </row>
    <row r="125" spans="1:44" x14ac:dyDescent="0.2">
      <c r="A125" s="21" t="s">
        <v>39</v>
      </c>
      <c r="B125" s="21" t="s">
        <v>40</v>
      </c>
      <c r="C125" s="21" t="s">
        <v>41</v>
      </c>
      <c r="D125" s="21">
        <v>2024</v>
      </c>
      <c r="E125" s="21" t="s">
        <v>42</v>
      </c>
      <c r="F125" s="21" t="s">
        <v>43</v>
      </c>
      <c r="G125" s="21" t="s">
        <v>44</v>
      </c>
      <c r="H125" s="21">
        <v>714778</v>
      </c>
      <c r="I125" s="21" t="s">
        <v>45</v>
      </c>
      <c r="J125" s="21">
        <v>2</v>
      </c>
      <c r="K125" s="21" t="s">
        <v>46</v>
      </c>
      <c r="L125" s="21" t="s">
        <v>262</v>
      </c>
      <c r="M125" s="21" t="s">
        <v>262</v>
      </c>
      <c r="N125" s="21" t="s">
        <v>193</v>
      </c>
      <c r="O125" s="21" t="s">
        <v>193</v>
      </c>
      <c r="P125" s="27">
        <v>0.1104321944</v>
      </c>
      <c r="Q125" s="27">
        <v>9.7652111400000005E-2</v>
      </c>
      <c r="R125" s="27">
        <v>7.3019346499999999E-2</v>
      </c>
      <c r="S125" s="27">
        <v>4.5771353600000002E-2</v>
      </c>
      <c r="T125" s="27">
        <v>1.24868883E-2</v>
      </c>
      <c r="U125" s="27"/>
      <c r="V125" s="21" t="s">
        <v>49</v>
      </c>
      <c r="W125" s="21" t="s">
        <v>50</v>
      </c>
      <c r="X125" s="21" t="s">
        <v>51</v>
      </c>
      <c r="Y125" s="27">
        <v>373.35998535160002</v>
      </c>
      <c r="Z125" s="27">
        <v>344.25</v>
      </c>
      <c r="AA125" s="27">
        <v>239.2440032959</v>
      </c>
      <c r="AB125" s="27">
        <v>175.41241455080001</v>
      </c>
      <c r="AC125" s="27">
        <v>51.753910064700001</v>
      </c>
      <c r="AD125" s="27"/>
      <c r="AE125" s="21" t="s">
        <v>52</v>
      </c>
      <c r="AF125" s="21" t="s">
        <v>53</v>
      </c>
      <c r="AG125" s="27">
        <v>316.29575035239998</v>
      </c>
      <c r="AH125" s="27">
        <v>307.51441579279998</v>
      </c>
      <c r="AI125" s="27">
        <v>209.93068137130001</v>
      </c>
      <c r="AJ125" s="27">
        <v>148.28954436039999</v>
      </c>
      <c r="AK125" s="27">
        <v>49.2135970235</v>
      </c>
      <c r="AL125" s="27"/>
      <c r="AM125" s="28">
        <v>97</v>
      </c>
      <c r="AN125" s="28">
        <v>101</v>
      </c>
      <c r="AO125" s="28">
        <v>104</v>
      </c>
      <c r="AP125" s="28">
        <v>113</v>
      </c>
      <c r="AQ125" s="28">
        <v>119</v>
      </c>
      <c r="AR125" s="28"/>
    </row>
    <row r="126" spans="1:44" x14ac:dyDescent="0.2">
      <c r="A126" s="21" t="s">
        <v>39</v>
      </c>
      <c r="B126" s="21" t="s">
        <v>40</v>
      </c>
      <c r="C126" s="21" t="s">
        <v>41</v>
      </c>
      <c r="D126" s="21">
        <v>2024</v>
      </c>
      <c r="E126" s="21" t="s">
        <v>42</v>
      </c>
      <c r="F126" s="21" t="s">
        <v>43</v>
      </c>
      <c r="G126" s="21" t="s">
        <v>44</v>
      </c>
      <c r="H126" s="21">
        <v>714778</v>
      </c>
      <c r="I126" s="21" t="s">
        <v>45</v>
      </c>
      <c r="J126" s="21">
        <v>2</v>
      </c>
      <c r="K126" s="21" t="s">
        <v>46</v>
      </c>
      <c r="L126" s="21" t="s">
        <v>267</v>
      </c>
      <c r="M126" s="21" t="s">
        <v>267</v>
      </c>
      <c r="N126" s="21" t="s">
        <v>281</v>
      </c>
      <c r="O126" s="21" t="s">
        <v>63</v>
      </c>
      <c r="P126" s="27">
        <v>2.5989544212000002</v>
      </c>
      <c r="Q126" s="27"/>
      <c r="R126" s="27"/>
      <c r="S126" s="27"/>
      <c r="T126" s="27"/>
      <c r="U126" s="27"/>
      <c r="V126" s="21" t="s">
        <v>49</v>
      </c>
      <c r="W126" s="21" t="s">
        <v>50</v>
      </c>
      <c r="X126" s="21" t="s">
        <v>51</v>
      </c>
      <c r="Y126" s="27">
        <v>8786.7998046875</v>
      </c>
      <c r="Z126" s="27"/>
      <c r="AA126" s="27"/>
      <c r="AB126" s="27"/>
      <c r="AC126" s="27"/>
      <c r="AD126" s="27"/>
      <c r="AE126" s="21" t="s">
        <v>52</v>
      </c>
      <c r="AF126" s="21" t="s">
        <v>53</v>
      </c>
      <c r="AG126" s="27">
        <v>7443.8277974627999</v>
      </c>
      <c r="AH126" s="27"/>
      <c r="AI126" s="27"/>
      <c r="AJ126" s="27"/>
      <c r="AK126" s="27"/>
      <c r="AL126" s="27"/>
      <c r="AM126" s="28">
        <v>8</v>
      </c>
      <c r="AN126" s="28"/>
      <c r="AO126" s="28"/>
      <c r="AP126" s="28"/>
      <c r="AQ126" s="28"/>
      <c r="AR126" s="28"/>
    </row>
    <row r="127" spans="1:44" x14ac:dyDescent="0.2">
      <c r="A127" s="21" t="s">
        <v>39</v>
      </c>
      <c r="B127" s="21" t="s">
        <v>40</v>
      </c>
      <c r="C127" s="21" t="s">
        <v>41</v>
      </c>
      <c r="D127" s="21">
        <v>2024</v>
      </c>
      <c r="E127" s="21" t="s">
        <v>42</v>
      </c>
      <c r="F127" s="21" t="s">
        <v>43</v>
      </c>
      <c r="G127" s="21" t="s">
        <v>44</v>
      </c>
      <c r="H127" s="21">
        <v>714778</v>
      </c>
      <c r="I127" s="21" t="s">
        <v>45</v>
      </c>
      <c r="J127" s="21">
        <v>2</v>
      </c>
      <c r="K127" s="21" t="s">
        <v>46</v>
      </c>
      <c r="L127" s="21" t="s">
        <v>276</v>
      </c>
      <c r="M127" s="21" t="s">
        <v>276</v>
      </c>
      <c r="N127" s="21" t="s">
        <v>276</v>
      </c>
      <c r="O127" s="21" t="s">
        <v>276</v>
      </c>
      <c r="P127" s="27">
        <v>18.8751124721</v>
      </c>
      <c r="Q127" s="27">
        <v>18.747310028800001</v>
      </c>
      <c r="R127" s="27">
        <v>16.1731768376</v>
      </c>
      <c r="S127" s="27">
        <v>16.332563934</v>
      </c>
      <c r="T127" s="27">
        <v>16.240151047600001</v>
      </c>
      <c r="U127" s="27">
        <v>16.1881878708</v>
      </c>
      <c r="V127" s="21" t="s">
        <v>49</v>
      </c>
      <c r="W127" s="21" t="s">
        <v>50</v>
      </c>
      <c r="X127" s="21" t="s">
        <v>51</v>
      </c>
      <c r="Y127" s="27">
        <v>63814.830006826902</v>
      </c>
      <c r="Z127" s="27">
        <v>66089.318376973999</v>
      </c>
      <c r="AA127" s="27">
        <v>52990.553333657997</v>
      </c>
      <c r="AB127" s="27">
        <v>62592.3039163785</v>
      </c>
      <c r="AC127" s="27">
        <v>67309.909313105105</v>
      </c>
      <c r="AD127" s="27">
        <v>71938.767401088597</v>
      </c>
      <c r="AE127" s="21" t="s">
        <v>52</v>
      </c>
      <c r="AF127" s="21" t="s">
        <v>53</v>
      </c>
      <c r="AG127" s="27">
        <v>54061.389362913302</v>
      </c>
      <c r="AH127" s="27">
        <v>59036.799218126303</v>
      </c>
      <c r="AI127" s="27">
        <v>46497.8967678435</v>
      </c>
      <c r="AJ127" s="27">
        <v>52914.066840702297</v>
      </c>
      <c r="AK127" s="27">
        <v>64006.038354988901</v>
      </c>
      <c r="AL127" s="27">
        <v>66663.512496242998</v>
      </c>
      <c r="AM127" s="28"/>
      <c r="AN127" s="28"/>
      <c r="AO127" s="28"/>
      <c r="AP127" s="28"/>
      <c r="AQ127" s="28"/>
      <c r="AR127" s="28"/>
    </row>
    <row r="128" spans="1:44" x14ac:dyDescent="0.2">
      <c r="A128" s="21" t="s">
        <v>39</v>
      </c>
      <c r="B128" s="21" t="s">
        <v>40</v>
      </c>
      <c r="C128" s="21" t="s">
        <v>41</v>
      </c>
      <c r="D128" s="21">
        <v>2024</v>
      </c>
      <c r="E128" s="21" t="s">
        <v>42</v>
      </c>
      <c r="F128" s="21" t="s">
        <v>43</v>
      </c>
      <c r="G128" s="21" t="s">
        <v>44</v>
      </c>
      <c r="H128" s="21">
        <v>714778</v>
      </c>
      <c r="I128" s="21" t="s">
        <v>45</v>
      </c>
      <c r="J128" s="21">
        <v>2</v>
      </c>
      <c r="K128" s="21" t="s">
        <v>46</v>
      </c>
      <c r="L128" s="21" t="s">
        <v>277</v>
      </c>
      <c r="M128" s="21" t="s">
        <v>277</v>
      </c>
      <c r="N128" s="21" t="s">
        <v>277</v>
      </c>
      <c r="O128" s="21" t="s">
        <v>277</v>
      </c>
      <c r="P128" s="27">
        <v>100</v>
      </c>
      <c r="Q128" s="27">
        <v>100</v>
      </c>
      <c r="R128" s="27">
        <v>100</v>
      </c>
      <c r="S128" s="27">
        <v>100</v>
      </c>
      <c r="T128" s="27">
        <v>100</v>
      </c>
      <c r="U128" s="27">
        <v>100</v>
      </c>
      <c r="V128" s="21" t="s">
        <v>49</v>
      </c>
      <c r="W128" s="21" t="s">
        <v>50</v>
      </c>
      <c r="X128" s="21" t="s">
        <v>51</v>
      </c>
      <c r="Y128" s="27">
        <v>338089.79999999987</v>
      </c>
      <c r="Z128" s="27">
        <v>352526.93999999989</v>
      </c>
      <c r="AA128" s="27">
        <v>327644.67899999989</v>
      </c>
      <c r="AB128" s="27">
        <v>383236.24</v>
      </c>
      <c r="AC128" s="27">
        <v>414466.03</v>
      </c>
      <c r="AD128" s="27">
        <v>444390.49</v>
      </c>
      <c r="AE128" s="21" t="s">
        <v>52</v>
      </c>
      <c r="AF128" s="21" t="s">
        <v>53</v>
      </c>
      <c r="AG128" s="27">
        <v>286416.25019566988</v>
      </c>
      <c r="AH128" s="27">
        <v>314908.10749549989</v>
      </c>
      <c r="AI128" s="27">
        <v>287500.08260431862</v>
      </c>
      <c r="AJ128" s="27">
        <v>323978.93591248931</v>
      </c>
      <c r="AK128" s="27">
        <v>394122.18622399721</v>
      </c>
      <c r="AL128" s="27">
        <v>411803.42746431712</v>
      </c>
      <c r="AM128" s="28"/>
      <c r="AN128" s="28"/>
      <c r="AO128" s="28"/>
      <c r="AP128" s="28"/>
      <c r="AQ128" s="28"/>
      <c r="AR128" s="28"/>
    </row>
    <row r="130" spans="1:1" x14ac:dyDescent="0.2">
      <c r="A130" s="21" t="s">
        <v>278</v>
      </c>
    </row>
  </sheetData>
  <autoFilter ref="A3:AR128" xr:uid="{00000000-0009-0000-0000-000002000000}"/>
  <pageMargins left="0.38" right="0.38" top="0.75" bottom="0.75" header="0.3" footer="0.3"/>
  <pageSetup orientation="landscape" r:id="rId1"/>
  <headerFooter>
    <oddHeader>&amp;L&amp;F&amp;RBrand Share LBNL</oddHeader>
    <oddFooter>&amp;L© Euromonitor International Ltd 2024&amp;CTuesday, July 30, 2024 9:25 AM&amp;R&amp;P of &amp;N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zoomScale="80" zoomScaleNormal="80" workbookViewId="0">
      <pane ySplit="3" topLeftCell="A4" activePane="bottomLeft" state="frozen"/>
      <selection pane="bottomLeft" activeCell="A4" sqref="A4"/>
    </sheetView>
  </sheetViews>
  <sheetFormatPr defaultColWidth="9" defaultRowHeight="12.75" x14ac:dyDescent="0.2"/>
  <cols>
    <col min="1" max="1" width="28.875" style="21" bestFit="1" customWidth="1"/>
    <col min="2" max="2" width="25.625" style="21" bestFit="1" customWidth="1"/>
    <col min="3" max="3" width="10.5" style="21" bestFit="1" customWidth="1"/>
    <col min="4" max="4" width="18.875" style="21" bestFit="1" customWidth="1"/>
    <col min="5" max="6" width="25.625" style="21" bestFit="1" customWidth="1"/>
    <col min="7" max="16384" width="9" style="21"/>
  </cols>
  <sheetData>
    <row r="1" spans="1:6" s="23" customFormat="1" ht="75" customHeight="1" x14ac:dyDescent="0.2"/>
    <row r="2" spans="1:6" x14ac:dyDescent="0.2">
      <c r="A2" s="29" t="s">
        <v>12</v>
      </c>
      <c r="B2" s="29" t="s">
        <v>9</v>
      </c>
      <c r="C2" s="29" t="s">
        <v>302</v>
      </c>
      <c r="D2" s="29" t="s">
        <v>303</v>
      </c>
      <c r="E2" s="29" t="s">
        <v>304</v>
      </c>
      <c r="F2" s="29" t="s">
        <v>305</v>
      </c>
    </row>
    <row r="3" spans="1:6" x14ac:dyDescent="0.2">
      <c r="A3" s="29"/>
      <c r="B3" s="29"/>
      <c r="C3" s="29"/>
      <c r="D3" s="29"/>
      <c r="E3" s="29"/>
      <c r="F3" s="29"/>
    </row>
    <row r="4" spans="1:6" x14ac:dyDescent="0.2">
      <c r="A4" s="21">
        <v>714778</v>
      </c>
      <c r="B4" s="21" t="s">
        <v>44</v>
      </c>
      <c r="C4" s="21">
        <v>19703</v>
      </c>
      <c r="D4" s="21" t="s">
        <v>41</v>
      </c>
      <c r="E4" s="21" t="s">
        <v>42</v>
      </c>
      <c r="F4" s="21" t="s">
        <v>44</v>
      </c>
    </row>
    <row r="6" spans="1:6" x14ac:dyDescent="0.2">
      <c r="A6" s="21" t="s">
        <v>278</v>
      </c>
    </row>
  </sheetData>
  <autoFilter ref="A3:F4" xr:uid="{00000000-0009-0000-0000-000003000000}"/>
  <pageMargins left="0.38" right="0.38" top="0.75" bottom="0.75" header="0.3" footer="0.3"/>
  <pageSetup orientation="landscape" r:id="rId1"/>
  <headerFooter>
    <oddHeader>&amp;L&amp;F&amp;RReference Sheet</oddHeader>
    <oddFooter>&amp;L© Euromonitor International Ltd 2024&amp;CTuesday, July 30, 2024 9:25 AM&amp;R&amp;P of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F1C77-0EFB-4B1E-90B6-F5F6AC572CC2}">
  <dimension ref="A2:AA24"/>
  <sheetViews>
    <sheetView tabSelected="1" topLeftCell="F1" zoomScale="80" zoomScaleNormal="80" workbookViewId="0">
      <selection activeCell="N3" sqref="N3"/>
    </sheetView>
  </sheetViews>
  <sheetFormatPr defaultRowHeight="14.25" x14ac:dyDescent="0.2"/>
  <cols>
    <col min="1" max="1" width="7.125" customWidth="1"/>
    <col min="2" max="2" width="14.875" customWidth="1"/>
    <col min="3" max="3" width="18.5" customWidth="1"/>
    <col min="6" max="6" width="22.125" customWidth="1"/>
    <col min="7" max="7" width="12.25" customWidth="1"/>
    <col min="8" max="8" width="10.375" customWidth="1"/>
    <col min="9" max="12" width="22.125" customWidth="1"/>
    <col min="13" max="16" width="22.125" style="13" customWidth="1"/>
    <col min="17" max="22" width="22.125" customWidth="1"/>
    <col min="23" max="23" width="22.125" style="13" customWidth="1"/>
    <col min="24" max="27" width="22.125" customWidth="1"/>
  </cols>
  <sheetData>
    <row r="2" spans="1:27" s="33" customFormat="1" ht="30" x14ac:dyDescent="0.2">
      <c r="C2" s="34"/>
      <c r="D2" s="34"/>
      <c r="E2" s="34"/>
      <c r="F2" s="36" t="s">
        <v>341</v>
      </c>
      <c r="G2" s="36" t="s">
        <v>342</v>
      </c>
      <c r="H2" s="36" t="s">
        <v>343</v>
      </c>
      <c r="I2" s="36" t="s">
        <v>344</v>
      </c>
      <c r="J2" s="36" t="s">
        <v>345</v>
      </c>
      <c r="K2" s="36" t="s">
        <v>346</v>
      </c>
      <c r="L2" s="36" t="s">
        <v>347</v>
      </c>
      <c r="M2" s="36" t="s">
        <v>348</v>
      </c>
      <c r="N2" s="36" t="s">
        <v>359</v>
      </c>
      <c r="O2" s="36" t="s">
        <v>360</v>
      </c>
      <c r="P2" s="36" t="s">
        <v>361</v>
      </c>
      <c r="Q2" s="36" t="s">
        <v>349</v>
      </c>
      <c r="R2" s="36" t="s">
        <v>350</v>
      </c>
      <c r="S2" s="36" t="s">
        <v>351</v>
      </c>
      <c r="T2" s="36" t="s">
        <v>352</v>
      </c>
      <c r="U2" s="36" t="s">
        <v>353</v>
      </c>
      <c r="V2" s="36" t="s">
        <v>362</v>
      </c>
      <c r="W2" s="36" t="s">
        <v>354</v>
      </c>
      <c r="X2" s="35" t="s">
        <v>355</v>
      </c>
      <c r="Y2" s="35" t="s">
        <v>356</v>
      </c>
      <c r="Z2" s="35" t="s">
        <v>357</v>
      </c>
      <c r="AA2" s="35" t="s">
        <v>358</v>
      </c>
    </row>
    <row r="3" spans="1:27" x14ac:dyDescent="0.2">
      <c r="A3" s="21" t="s">
        <v>40</v>
      </c>
      <c r="B3" s="21" t="s">
        <v>47</v>
      </c>
      <c r="C3" s="21" t="s">
        <v>48</v>
      </c>
      <c r="D3" s="21" t="s">
        <v>53</v>
      </c>
      <c r="F3" s="37">
        <v>49270128248</v>
      </c>
      <c r="G3">
        <v>80</v>
      </c>
      <c r="H3">
        <v>20</v>
      </c>
      <c r="I3" s="37">
        <f>F3*0.8</f>
        <v>39416102598.400002</v>
      </c>
      <c r="J3" s="37">
        <f>F3*0.2</f>
        <v>9854025649.6000004</v>
      </c>
      <c r="K3" s="37">
        <f>J3*0.8</f>
        <v>7883220519.6800003</v>
      </c>
      <c r="L3" s="37">
        <f>K3/5.5/1000</f>
        <v>1433312.82176</v>
      </c>
      <c r="M3" s="38">
        <f>L3*0.2</f>
        <v>286662.56435200002</v>
      </c>
      <c r="N3" s="37">
        <f>J3*0.05</f>
        <v>492701282.48000002</v>
      </c>
      <c r="O3" s="37">
        <f>N3/4/1000</f>
        <v>123175.32062</v>
      </c>
      <c r="P3" s="38">
        <f>O3/5</f>
        <v>24635.064124</v>
      </c>
      <c r="Q3" s="37">
        <f>J3*0.05</f>
        <v>492701282.48000002</v>
      </c>
      <c r="R3" s="37">
        <f>J3-K3-Q3-N3</f>
        <v>985402564.96000004</v>
      </c>
      <c r="S3" s="37">
        <f>R3/6/1000</f>
        <v>164233.76082666669</v>
      </c>
      <c r="T3" s="38">
        <f>S3/10</f>
        <v>16423.376082666669</v>
      </c>
      <c r="U3" s="37">
        <f>I3*0.07</f>
        <v>2759127181.8880005</v>
      </c>
      <c r="V3" s="37">
        <f>U3/6000</f>
        <v>459854.53031466674</v>
      </c>
      <c r="W3" s="37">
        <f>V3/3</f>
        <v>153284.84343822225</v>
      </c>
      <c r="X3" s="38">
        <f>W3/15</f>
        <v>10218.989562548149</v>
      </c>
    </row>
    <row r="4" spans="1:27" x14ac:dyDescent="0.2">
      <c r="A4" s="21" t="s">
        <v>40</v>
      </c>
      <c r="B4" s="21" t="s">
        <v>56</v>
      </c>
      <c r="C4" s="21" t="s">
        <v>57</v>
      </c>
      <c r="D4" s="21" t="s">
        <v>53</v>
      </c>
      <c r="F4" s="37">
        <v>19454018417</v>
      </c>
      <c r="G4">
        <v>90</v>
      </c>
      <c r="H4">
        <v>10</v>
      </c>
      <c r="I4" s="37">
        <f>F4*0.9</f>
        <v>17508616575.299999</v>
      </c>
      <c r="J4" s="37">
        <f>F4*0.1</f>
        <v>1945401841.7</v>
      </c>
      <c r="K4" s="37">
        <f>J4*0.75</f>
        <v>1459051381.2750001</v>
      </c>
      <c r="L4" s="37">
        <f>K4/5.5/1000</f>
        <v>265282.06932272727</v>
      </c>
      <c r="M4" s="38">
        <f>L4*0.2</f>
        <v>53056.413864545459</v>
      </c>
      <c r="N4" s="37">
        <f>J4*0.1</f>
        <v>194540184.17000002</v>
      </c>
      <c r="O4" s="37">
        <f>N4/4/1000</f>
        <v>48635.046042500006</v>
      </c>
      <c r="P4" s="38">
        <f>O4/5</f>
        <v>9727.0092085000015</v>
      </c>
      <c r="Q4" s="37">
        <f>J4*0.05</f>
        <v>97270092.085000008</v>
      </c>
      <c r="R4" s="37">
        <f>J4-K4-Q4-N4</f>
        <v>194540184.1699999</v>
      </c>
      <c r="S4" s="37">
        <f>R4/6/1000</f>
        <v>32423.364028333319</v>
      </c>
      <c r="T4" s="38">
        <f>S4/10</f>
        <v>3242.3364028333317</v>
      </c>
      <c r="U4" s="37">
        <f>I4*0.07</f>
        <v>1225603160.2710001</v>
      </c>
      <c r="V4" s="37">
        <f>U4/6000</f>
        <v>204267.19337850003</v>
      </c>
      <c r="W4" s="37">
        <f t="shared" ref="W4:W6" si="0">V4/3</f>
        <v>68089.064459500005</v>
      </c>
      <c r="X4" s="38">
        <f t="shared" ref="X4:X6" si="1">W4/15</f>
        <v>4539.2709639666673</v>
      </c>
    </row>
    <row r="5" spans="1:27" x14ac:dyDescent="0.2">
      <c r="A5" s="21" t="s">
        <v>40</v>
      </c>
      <c r="B5" s="21" t="s">
        <v>58</v>
      </c>
      <c r="C5" s="21" t="s">
        <v>59</v>
      </c>
      <c r="D5" s="21" t="s">
        <v>53</v>
      </c>
      <c r="F5" s="37">
        <v>13762944831</v>
      </c>
      <c r="G5">
        <v>70</v>
      </c>
      <c r="H5">
        <v>30</v>
      </c>
      <c r="I5" s="37">
        <f>F5*0.7</f>
        <v>9634061381.6999989</v>
      </c>
      <c r="J5" s="37">
        <f>F5*0.3</f>
        <v>4128883449.2999997</v>
      </c>
      <c r="K5" s="37">
        <f>J5*0.7</f>
        <v>2890218414.5099998</v>
      </c>
      <c r="L5" s="37">
        <f>K5/5.5/1000</f>
        <v>525494.25718363631</v>
      </c>
      <c r="M5" s="38">
        <f>L5*0.2</f>
        <v>105098.85143672727</v>
      </c>
      <c r="N5" s="37">
        <f>J5*0.2</f>
        <v>825776689.86000001</v>
      </c>
      <c r="O5" s="37">
        <f>N5/4/1000</f>
        <v>206444.17246500001</v>
      </c>
      <c r="P5" s="38">
        <f>O5/5</f>
        <v>41288.834493000002</v>
      </c>
      <c r="Q5" s="37">
        <f>J5*0.05</f>
        <v>206444172.465</v>
      </c>
      <c r="R5" s="37">
        <f>J5-K5-Q5-N5</f>
        <v>206444172.46499991</v>
      </c>
      <c r="S5" s="37">
        <f>R5/6/1000</f>
        <v>34407.362077499987</v>
      </c>
      <c r="T5" s="38">
        <f>S5/10</f>
        <v>3440.7362077499988</v>
      </c>
      <c r="U5" s="37">
        <f>I5*0.05</f>
        <v>481703069.08499998</v>
      </c>
      <c r="V5" s="37">
        <f t="shared" ref="V5:V6" si="2">U5/6000</f>
        <v>80283.84484749999</v>
      </c>
      <c r="W5" s="37">
        <f t="shared" si="0"/>
        <v>26761.28161583333</v>
      </c>
      <c r="X5" s="38">
        <f t="shared" si="1"/>
        <v>1784.0854410555553</v>
      </c>
    </row>
    <row r="6" spans="1:27" x14ac:dyDescent="0.2">
      <c r="A6" s="21" t="s">
        <v>40</v>
      </c>
      <c r="B6" s="21" t="s">
        <v>60</v>
      </c>
      <c r="C6" s="21" t="s">
        <v>61</v>
      </c>
      <c r="D6" s="21" t="s">
        <v>53</v>
      </c>
      <c r="F6" s="37">
        <v>12018269167</v>
      </c>
      <c r="G6">
        <v>80</v>
      </c>
      <c r="H6">
        <v>20</v>
      </c>
      <c r="I6" s="37">
        <f>F6*0.8</f>
        <v>9614615333.6000004</v>
      </c>
      <c r="J6" s="37">
        <f>F6*0.2</f>
        <v>2403653833.4000001</v>
      </c>
      <c r="K6" s="37">
        <f>J6*0.8</f>
        <v>1922923066.7200003</v>
      </c>
      <c r="L6" s="37">
        <f>K6/5.5/1000</f>
        <v>349622.37576727278</v>
      </c>
      <c r="M6" s="38">
        <f>L6*0.2</f>
        <v>69924.475153454565</v>
      </c>
      <c r="N6" s="37">
        <f>J6*0.1</f>
        <v>240365383.34000003</v>
      </c>
      <c r="O6" s="37">
        <f>N6/4/1000</f>
        <v>60091.345835000007</v>
      </c>
      <c r="P6" s="38">
        <f>O6/5</f>
        <v>12018.269167000002</v>
      </c>
      <c r="Q6" s="37">
        <f>J6*0.08</f>
        <v>192292306.67200002</v>
      </c>
      <c r="R6" s="37">
        <f>J6-K6-Q6-N6</f>
        <v>48073076.667999744</v>
      </c>
      <c r="S6" s="37">
        <f>R6/6/1000</f>
        <v>8012.1794446666245</v>
      </c>
      <c r="T6" s="38">
        <f>S6/10</f>
        <v>801.2179444666624</v>
      </c>
      <c r="U6" s="37">
        <f>I6*0.05</f>
        <v>480730766.68000007</v>
      </c>
      <c r="V6" s="37">
        <f t="shared" si="2"/>
        <v>80121.794446666681</v>
      </c>
      <c r="W6" s="37">
        <f t="shared" si="0"/>
        <v>26707.264815555562</v>
      </c>
      <c r="X6" s="38">
        <f t="shared" si="1"/>
        <v>1780.4843210370375</v>
      </c>
    </row>
    <row r="9" spans="1:27" x14ac:dyDescent="0.2">
      <c r="A9" s="21" t="s">
        <v>40</v>
      </c>
      <c r="B9" s="21" t="s">
        <v>66</v>
      </c>
      <c r="C9" s="21" t="s">
        <v>67</v>
      </c>
      <c r="D9" s="21" t="s">
        <v>53</v>
      </c>
      <c r="F9" s="37">
        <v>10143332088</v>
      </c>
      <c r="G9">
        <v>80</v>
      </c>
      <c r="H9">
        <v>20</v>
      </c>
      <c r="I9" s="37">
        <f>F9*0.8</f>
        <v>8114665670.4000006</v>
      </c>
      <c r="J9" s="37">
        <f>F9*0.2</f>
        <v>2028666417.6000001</v>
      </c>
      <c r="K9" s="37">
        <f>J9*0.8</f>
        <v>1622933134.0800002</v>
      </c>
      <c r="L9" s="37">
        <f>K9/5.5/1000</f>
        <v>295078.75165090914</v>
      </c>
      <c r="M9" s="38">
        <f>L9*0.2</f>
        <v>59015.750330181829</v>
      </c>
    </row>
    <row r="10" spans="1:27" x14ac:dyDescent="0.2">
      <c r="A10" s="21" t="s">
        <v>40</v>
      </c>
      <c r="B10" s="21" t="s">
        <v>68</v>
      </c>
      <c r="C10" s="21" t="s">
        <v>69</v>
      </c>
      <c r="D10" s="21" t="s">
        <v>53</v>
      </c>
      <c r="F10" s="37">
        <v>9080359011</v>
      </c>
    </row>
    <row r="11" spans="1:27" x14ac:dyDescent="0.2">
      <c r="A11" s="21" t="s">
        <v>40</v>
      </c>
      <c r="B11" s="21" t="s">
        <v>70</v>
      </c>
      <c r="C11" s="21" t="s">
        <v>71</v>
      </c>
      <c r="D11" s="21" t="s">
        <v>53</v>
      </c>
      <c r="F11" s="37">
        <v>8791531109</v>
      </c>
    </row>
    <row r="13" spans="1:27" x14ac:dyDescent="0.2">
      <c r="A13" s="21" t="s">
        <v>40</v>
      </c>
      <c r="B13" s="21" t="s">
        <v>73</v>
      </c>
      <c r="C13" s="21" t="s">
        <v>63</v>
      </c>
      <c r="D13" s="21" t="s">
        <v>53</v>
      </c>
      <c r="F13" s="37">
        <v>5571141285</v>
      </c>
    </row>
    <row r="14" spans="1:27" x14ac:dyDescent="0.2">
      <c r="A14" s="21" t="s">
        <v>40</v>
      </c>
      <c r="B14" s="21" t="s">
        <v>74</v>
      </c>
      <c r="C14" s="21" t="s">
        <v>59</v>
      </c>
      <c r="D14" s="21" t="s">
        <v>53</v>
      </c>
      <c r="F14" s="37">
        <v>5558702955</v>
      </c>
    </row>
    <row r="15" spans="1:27" x14ac:dyDescent="0.2">
      <c r="F15" s="37"/>
    </row>
    <row r="16" spans="1:27" x14ac:dyDescent="0.2">
      <c r="F16" s="37"/>
    </row>
    <row r="17" spans="1:6" x14ac:dyDescent="0.2">
      <c r="A17" s="21" t="s">
        <v>40</v>
      </c>
      <c r="B17" s="21" t="s">
        <v>54</v>
      </c>
      <c r="C17" s="21" t="s">
        <v>55</v>
      </c>
      <c r="D17" s="21" t="s">
        <v>53</v>
      </c>
      <c r="F17" s="37">
        <v>23685587136</v>
      </c>
    </row>
    <row r="18" spans="1:6" x14ac:dyDescent="0.2">
      <c r="A18" s="21" t="s">
        <v>40</v>
      </c>
      <c r="B18" s="21" t="s">
        <v>62</v>
      </c>
      <c r="C18" s="21" t="s">
        <v>63</v>
      </c>
      <c r="D18" s="21" t="s">
        <v>53</v>
      </c>
      <c r="F18" s="37">
        <v>11046814726</v>
      </c>
    </row>
    <row r="19" spans="1:6" x14ac:dyDescent="0.2">
      <c r="A19" s="21" t="s">
        <v>40</v>
      </c>
      <c r="B19" s="21" t="s">
        <v>72</v>
      </c>
      <c r="C19" s="21" t="s">
        <v>72</v>
      </c>
      <c r="D19" s="21" t="s">
        <v>53</v>
      </c>
      <c r="F19" s="37">
        <v>6462821548</v>
      </c>
    </row>
    <row r="24" spans="1:6" x14ac:dyDescent="0.2">
      <c r="A24" s="21" t="s">
        <v>40</v>
      </c>
      <c r="B24" s="21" t="s">
        <v>64</v>
      </c>
      <c r="C24" s="21" t="s">
        <v>65</v>
      </c>
      <c r="D24" s="21" t="s">
        <v>53</v>
      </c>
      <c r="F24" s="37">
        <v>10462445091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 Sheet</vt:lpstr>
      <vt:lpstr>Brand Share GBN</vt:lpstr>
      <vt:lpstr>Brand Share LBNL</vt:lpstr>
      <vt:lpstr>Reference 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Euromonitor International</dc:creator>
  <dc:description>Copyright © and database right Euromonitor International 2011. 
This document is strictly copyright.  Reproduction or distribution in any form whatsoever without express written permission from Euromonitor International plc is prohibited.</dc:description>
  <cp:lastModifiedBy>Kosilova, Olga</cp:lastModifiedBy>
  <dcterms:created xsi:type="dcterms:W3CDTF">2009-10-05T16:11:51Z</dcterms:created>
  <dcterms:modified xsi:type="dcterms:W3CDTF">2024-07-30T14:50:35Z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traction">
    <vt:lpwstr>MBiIuowK8Iw=|TSnHuRqXE+Y=</vt:lpwstr>
  </property>
  <property fmtid="{D5CDD505-2E9C-101B-9397-08002B2CF9AE}" pid="3" name="MSIP_Label_d75bfda0-71d3-447e-a4d8-bdd8ff136ad9_Enabled">
    <vt:lpwstr>true</vt:lpwstr>
  </property>
  <property fmtid="{D5CDD505-2E9C-101B-9397-08002B2CF9AE}" pid="4" name="MSIP_Label_d75bfda0-71d3-447e-a4d8-bdd8ff136ad9_SetDate">
    <vt:lpwstr>2024-07-30T10:19:28Z</vt:lpwstr>
  </property>
  <property fmtid="{D5CDD505-2E9C-101B-9397-08002B2CF9AE}" pid="5" name="MSIP_Label_d75bfda0-71d3-447e-a4d8-bdd8ff136ad9_Method">
    <vt:lpwstr>Standard</vt:lpwstr>
  </property>
  <property fmtid="{D5CDD505-2E9C-101B-9397-08002B2CF9AE}" pid="6" name="MSIP_Label_d75bfda0-71d3-447e-a4d8-bdd8ff136ad9_Name">
    <vt:lpwstr>Internal</vt:lpwstr>
  </property>
  <property fmtid="{D5CDD505-2E9C-101B-9397-08002B2CF9AE}" pid="7" name="MSIP_Label_d75bfda0-71d3-447e-a4d8-bdd8ff136ad9_SiteId">
    <vt:lpwstr>38e5bc50-ed60-4cb7-83d9-07d94e42f5f8</vt:lpwstr>
  </property>
  <property fmtid="{D5CDD505-2E9C-101B-9397-08002B2CF9AE}" pid="8" name="MSIP_Label_d75bfda0-71d3-447e-a4d8-bdd8ff136ad9_ActionId">
    <vt:lpwstr>cd6c1a95-df40-488e-a4c3-a317926f9a0e</vt:lpwstr>
  </property>
  <property fmtid="{D5CDD505-2E9C-101B-9397-08002B2CF9AE}" pid="9" name="MSIP_Label_d75bfda0-71d3-447e-a4d8-bdd8ff136ad9_ContentBits">
    <vt:lpwstr>0</vt:lpwstr>
  </property>
</Properties>
</file>