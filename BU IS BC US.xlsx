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arket Segment Foodservice\01_Team\Olga Kosilova\Potential calculations\"/>
    </mc:Choice>
  </mc:AlternateContent>
  <xr:revisionPtr revIDLastSave="0" documentId="8_{A4A11BD1-08D5-4E71-A486-39EAE6C06576}" xr6:coauthVersionLast="47" xr6:coauthVersionMax="47" xr10:uidLastSave="{00000000-0000-0000-0000-000000000000}"/>
  <bookViews>
    <workbookView xWindow="-120" yWindow="-120" windowWidth="19440" windowHeight="10440" xr2:uid="{7647917F-2B56-4A14-9F79-55E9A0132699}"/>
  </bookViews>
  <sheets>
    <sheet name="Syrups" sheetId="3" r:id="rId1"/>
    <sheet name="Compounds" sheetId="2" r:id="rId2"/>
    <sheet name="Packaging " sheetId="4" r:id="rId3"/>
  </sheets>
  <definedNames>
    <definedName name="_xlnm._FilterDatabase" localSheetId="1" hidden="1">Compounds!$A$1:$Q$1</definedName>
    <definedName name="_xlnm._FilterDatabase" localSheetId="2" hidden="1">'Packaging '!$A$1:$L$9</definedName>
    <definedName name="_xlnm._FilterDatabase" localSheetId="0" hidden="1">Syrups!$A$1:$Q$27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D32" i="2"/>
  <c r="E32" i="2"/>
  <c r="F32" i="2"/>
  <c r="H28" i="3"/>
  <c r="G32" i="2"/>
  <c r="H32" i="2"/>
  <c r="E11" i="3" l="1"/>
  <c r="L31" i="3" l="1"/>
  <c r="M31" i="3" s="1"/>
  <c r="N31" i="3" s="1"/>
  <c r="O31" i="3" s="1"/>
  <c r="L30" i="3" l="1"/>
  <c r="L29" i="3"/>
  <c r="M30" i="3" l="1"/>
  <c r="M29" i="3"/>
  <c r="N29" i="3" s="1"/>
  <c r="C28" i="3" l="1"/>
  <c r="L28" i="3" l="1"/>
  <c r="K28" i="3"/>
  <c r="E12" i="3"/>
  <c r="F12" i="3" s="1"/>
  <c r="D12" i="3"/>
  <c r="E10" i="3"/>
  <c r="F10" i="3" s="1"/>
  <c r="D10" i="3"/>
  <c r="E6" i="3"/>
  <c r="F6" i="3" s="1"/>
  <c r="D6" i="3"/>
  <c r="E5" i="3"/>
  <c r="F5" i="3" s="1"/>
  <c r="D5" i="3"/>
  <c r="E15" i="3"/>
  <c r="F15" i="3" s="1"/>
  <c r="D15" i="3"/>
  <c r="E20" i="3"/>
  <c r="F20" i="3" s="1"/>
  <c r="D20" i="3"/>
  <c r="E19" i="3"/>
  <c r="F19" i="3" s="1"/>
  <c r="D19" i="3"/>
  <c r="E14" i="3"/>
  <c r="F14" i="3" s="1"/>
  <c r="D14" i="3"/>
  <c r="E4" i="3"/>
  <c r="F4" i="3" s="1"/>
  <c r="D4" i="3"/>
  <c r="E24" i="3"/>
  <c r="F24" i="3" s="1"/>
  <c r="D24" i="3"/>
  <c r="E9" i="3"/>
  <c r="F9" i="3" s="1"/>
  <c r="D9" i="3"/>
  <c r="E23" i="3"/>
  <c r="F23" i="3" s="1"/>
  <c r="D23" i="3"/>
  <c r="E18" i="3"/>
  <c r="F18" i="3" s="1"/>
  <c r="D18" i="3"/>
  <c r="E27" i="3"/>
  <c r="F27" i="3" s="1"/>
  <c r="D27" i="3"/>
  <c r="E26" i="3"/>
  <c r="F26" i="3" s="1"/>
  <c r="D26" i="3"/>
  <c r="E17" i="3"/>
  <c r="F17" i="3" s="1"/>
  <c r="D17" i="3"/>
  <c r="E25" i="3"/>
  <c r="F25" i="3" s="1"/>
  <c r="D25" i="3"/>
  <c r="E22" i="3"/>
  <c r="F22" i="3" s="1"/>
  <c r="D22" i="3"/>
  <c r="M21" i="3"/>
  <c r="N21" i="3" s="1"/>
  <c r="O21" i="3" s="1"/>
  <c r="E21" i="3"/>
  <c r="F21" i="3" s="1"/>
  <c r="D21" i="3"/>
  <c r="M13" i="3"/>
  <c r="N13" i="3" s="1"/>
  <c r="O13" i="3" s="1"/>
  <c r="E13" i="3"/>
  <c r="F13" i="3" s="1"/>
  <c r="D13" i="3"/>
  <c r="E3" i="3"/>
  <c r="F3" i="3" s="1"/>
  <c r="D3" i="3"/>
  <c r="M7" i="3"/>
  <c r="N7" i="3" s="1"/>
  <c r="O7" i="3" s="1"/>
  <c r="E7" i="3"/>
  <c r="F7" i="3" s="1"/>
  <c r="D7" i="3"/>
  <c r="M16" i="3"/>
  <c r="E16" i="3"/>
  <c r="F16" i="3" s="1"/>
  <c r="D16" i="3"/>
  <c r="F11" i="3"/>
  <c r="D11" i="3"/>
  <c r="E8" i="3"/>
  <c r="F8" i="3" s="1"/>
  <c r="D8" i="3"/>
  <c r="E2" i="3"/>
  <c r="E28" i="3" s="1"/>
  <c r="D2" i="3"/>
  <c r="D28" i="3" s="1"/>
  <c r="L43" i="2"/>
  <c r="M43" i="2" s="1"/>
  <c r="N43" i="2" s="1"/>
  <c r="E43" i="2"/>
  <c r="F43" i="2" s="1"/>
  <c r="G43" i="2" s="1"/>
  <c r="H43" i="2" s="1"/>
  <c r="O43" i="2" s="1"/>
  <c r="L42" i="2"/>
  <c r="M42" i="2" s="1"/>
  <c r="N42" i="2" s="1"/>
  <c r="E42" i="2"/>
  <c r="F42" i="2" s="1"/>
  <c r="G42" i="2" s="1"/>
  <c r="H42" i="2" s="1"/>
  <c r="O42" i="2" s="1"/>
  <c r="L41" i="2"/>
  <c r="M41" i="2" s="1"/>
  <c r="N41" i="2" s="1"/>
  <c r="E41" i="2"/>
  <c r="F41" i="2" s="1"/>
  <c r="G41" i="2" s="1"/>
  <c r="H41" i="2" s="1"/>
  <c r="O41" i="2" s="1"/>
  <c r="M40" i="2"/>
  <c r="N40" i="2" s="1"/>
  <c r="E40" i="2"/>
  <c r="F40" i="2" s="1"/>
  <c r="G40" i="2" s="1"/>
  <c r="H40" i="2" s="1"/>
  <c r="O40" i="2" s="1"/>
  <c r="M39" i="2"/>
  <c r="N39" i="2" s="1"/>
  <c r="E39" i="2"/>
  <c r="F39" i="2" s="1"/>
  <c r="G39" i="2" s="1"/>
  <c r="H39" i="2" s="1"/>
  <c r="O39" i="2" s="1"/>
  <c r="M38" i="2"/>
  <c r="N38" i="2" s="1"/>
  <c r="E38" i="2"/>
  <c r="F38" i="2" s="1"/>
  <c r="G38" i="2" s="1"/>
  <c r="H38" i="2" s="1"/>
  <c r="O38" i="2" s="1"/>
  <c r="E37" i="2"/>
  <c r="F37" i="2" s="1"/>
  <c r="G37" i="2" s="1"/>
  <c r="H37" i="2" s="1"/>
  <c r="O37" i="2" s="1"/>
  <c r="L35" i="2"/>
  <c r="M35" i="2" s="1"/>
  <c r="N35" i="2" s="1"/>
  <c r="O35" i="2" s="1"/>
  <c r="L34" i="2"/>
  <c r="M34" i="2" s="1"/>
  <c r="N34" i="2" s="1"/>
  <c r="O34" i="2" s="1"/>
  <c r="L33" i="2"/>
  <c r="M33" i="2" s="1"/>
  <c r="N33" i="2" s="1"/>
  <c r="O33" i="2" s="1"/>
  <c r="L26" i="2"/>
  <c r="M26" i="2" s="1"/>
  <c r="N26" i="2" s="1"/>
  <c r="E26" i="2"/>
  <c r="F26" i="2" s="1"/>
  <c r="G26" i="2" s="1"/>
  <c r="H26" i="2" s="1"/>
  <c r="O26" i="2" s="1"/>
  <c r="D26" i="2"/>
  <c r="E18" i="2"/>
  <c r="F18" i="2" s="1"/>
  <c r="G18" i="2" s="1"/>
  <c r="H18" i="2" s="1"/>
  <c r="D18" i="2"/>
  <c r="L28" i="2"/>
  <c r="M28" i="2" s="1"/>
  <c r="N28" i="2" s="1"/>
  <c r="E28" i="2"/>
  <c r="F28" i="2" s="1"/>
  <c r="G28" i="2" s="1"/>
  <c r="H28" i="2" s="1"/>
  <c r="O28" i="2" s="1"/>
  <c r="D28" i="2"/>
  <c r="E9" i="2"/>
  <c r="F9" i="2" s="1"/>
  <c r="G9" i="2" s="1"/>
  <c r="H9" i="2" s="1"/>
  <c r="D9" i="2"/>
  <c r="E24" i="2"/>
  <c r="F24" i="2" s="1"/>
  <c r="G24" i="2" s="1"/>
  <c r="H24" i="2" s="1"/>
  <c r="D24" i="2"/>
  <c r="L23" i="2"/>
  <c r="M23" i="2" s="1"/>
  <c r="E23" i="2"/>
  <c r="F23" i="2" s="1"/>
  <c r="G23" i="2" s="1"/>
  <c r="H23" i="2" s="1"/>
  <c r="D23" i="2"/>
  <c r="E13" i="2"/>
  <c r="F13" i="2" s="1"/>
  <c r="G13" i="2" s="1"/>
  <c r="H13" i="2" s="1"/>
  <c r="D13" i="2"/>
  <c r="E8" i="2"/>
  <c r="F8" i="2" s="1"/>
  <c r="G8" i="2" s="1"/>
  <c r="H8" i="2" s="1"/>
  <c r="D8" i="2"/>
  <c r="E12" i="2"/>
  <c r="F12" i="2" s="1"/>
  <c r="G12" i="2" s="1"/>
  <c r="H12" i="2" s="1"/>
  <c r="D12" i="2"/>
  <c r="N11" i="2"/>
  <c r="E11" i="2"/>
  <c r="F11" i="2" s="1"/>
  <c r="G11" i="2" s="1"/>
  <c r="H11" i="2" s="1"/>
  <c r="D11" i="2"/>
  <c r="E7" i="2"/>
  <c r="F7" i="2" s="1"/>
  <c r="G7" i="2" s="1"/>
  <c r="H7" i="2" s="1"/>
  <c r="D7" i="2"/>
  <c r="E5" i="2"/>
  <c r="F5" i="2" s="1"/>
  <c r="G5" i="2" s="1"/>
  <c r="H5" i="2" s="1"/>
  <c r="D5" i="2"/>
  <c r="M21" i="2"/>
  <c r="N21" i="2" s="1"/>
  <c r="E21" i="2"/>
  <c r="F21" i="2" s="1"/>
  <c r="G21" i="2" s="1"/>
  <c r="H21" i="2" s="1"/>
  <c r="O21" i="2" s="1"/>
  <c r="D21" i="2"/>
  <c r="N20" i="2"/>
  <c r="E20" i="2"/>
  <c r="F20" i="2" s="1"/>
  <c r="G20" i="2" s="1"/>
  <c r="H20" i="2" s="1"/>
  <c r="O20" i="2" s="1"/>
  <c r="D20" i="2"/>
  <c r="M27" i="2"/>
  <c r="N27" i="2" s="1"/>
  <c r="E27" i="2"/>
  <c r="F27" i="2" s="1"/>
  <c r="G27" i="2" s="1"/>
  <c r="H27" i="2" s="1"/>
  <c r="D27" i="2"/>
  <c r="E14" i="2"/>
  <c r="F14" i="2" s="1"/>
  <c r="G14" i="2" s="1"/>
  <c r="H14" i="2" s="1"/>
  <c r="D14" i="2"/>
  <c r="E15" i="2"/>
  <c r="F15" i="2" s="1"/>
  <c r="G15" i="2" s="1"/>
  <c r="H15" i="2" s="1"/>
  <c r="D15" i="2"/>
  <c r="E17" i="2"/>
  <c r="F17" i="2" s="1"/>
  <c r="G17" i="2" s="1"/>
  <c r="H17" i="2" s="1"/>
  <c r="O17" i="2" s="1"/>
  <c r="D17" i="2"/>
  <c r="E19" i="2"/>
  <c r="F19" i="2" s="1"/>
  <c r="G19" i="2" s="1"/>
  <c r="H19" i="2" s="1"/>
  <c r="O19" i="2" s="1"/>
  <c r="D19" i="2"/>
  <c r="L2" i="2"/>
  <c r="E2" i="2"/>
  <c r="F2" i="2" s="1"/>
  <c r="G2" i="2" s="1"/>
  <c r="H2" i="2" s="1"/>
  <c r="D2" i="2"/>
  <c r="L25" i="2"/>
  <c r="M25" i="2" s="1"/>
  <c r="N25" i="2" s="1"/>
  <c r="E25" i="2"/>
  <c r="F25" i="2" s="1"/>
  <c r="G25" i="2" s="1"/>
  <c r="H25" i="2" s="1"/>
  <c r="O25" i="2" s="1"/>
  <c r="D25" i="2"/>
  <c r="E3" i="2"/>
  <c r="F3" i="2" s="1"/>
  <c r="G3" i="2" s="1"/>
  <c r="H3" i="2" s="1"/>
  <c r="O3" i="2" s="1"/>
  <c r="D3" i="2"/>
  <c r="N16" i="2"/>
  <c r="K16" i="2"/>
  <c r="K32" i="2" s="1"/>
  <c r="E16" i="2"/>
  <c r="F16" i="2" s="1"/>
  <c r="G16" i="2" s="1"/>
  <c r="H16" i="2" s="1"/>
  <c r="O16" i="2" s="1"/>
  <c r="D16" i="2"/>
  <c r="E4" i="2"/>
  <c r="F4" i="2" s="1"/>
  <c r="G4" i="2" s="1"/>
  <c r="H4" i="2" s="1"/>
  <c r="O4" i="2" s="1"/>
  <c r="D4" i="2"/>
  <c r="L6" i="2"/>
  <c r="E6" i="2"/>
  <c r="F6" i="2" s="1"/>
  <c r="G6" i="2" s="1"/>
  <c r="H6" i="2" s="1"/>
  <c r="D6" i="2"/>
  <c r="E30" i="2"/>
  <c r="F30" i="2" s="1"/>
  <c r="G30" i="2" s="1"/>
  <c r="H30" i="2" s="1"/>
  <c r="D30" i="2"/>
  <c r="E29" i="2"/>
  <c r="F29" i="2" s="1"/>
  <c r="G29" i="2" s="1"/>
  <c r="H29" i="2" s="1"/>
  <c r="D29" i="2"/>
  <c r="L22" i="2"/>
  <c r="E22" i="2"/>
  <c r="F22" i="2" s="1"/>
  <c r="G22" i="2" s="1"/>
  <c r="H22" i="2" s="1"/>
  <c r="O22" i="2" s="1"/>
  <c r="D22" i="2"/>
  <c r="M10" i="2"/>
  <c r="J10" i="2"/>
  <c r="J31" i="2" s="1"/>
  <c r="J32" i="2" s="1"/>
  <c r="F28" i="3" l="1"/>
  <c r="G28" i="3"/>
  <c r="N30" i="3"/>
  <c r="O30" i="3" s="1"/>
  <c r="O29" i="3"/>
  <c r="G2" i="3"/>
  <c r="H2" i="3" s="1"/>
  <c r="F2" i="3"/>
  <c r="G8" i="3"/>
  <c r="H8" i="3" s="1"/>
  <c r="G11" i="3"/>
  <c r="H11" i="3" s="1"/>
  <c r="G16" i="3"/>
  <c r="H16" i="3" s="1"/>
  <c r="M28" i="3"/>
  <c r="N16" i="3"/>
  <c r="G7" i="3"/>
  <c r="H7" i="3" s="1"/>
  <c r="G3" i="3"/>
  <c r="H3" i="3" s="1"/>
  <c r="G13" i="3"/>
  <c r="H13" i="3" s="1"/>
  <c r="G21" i="3"/>
  <c r="H21" i="3" s="1"/>
  <c r="G22" i="3"/>
  <c r="H22" i="3" s="1"/>
  <c r="G25" i="3"/>
  <c r="H25" i="3" s="1"/>
  <c r="G17" i="3"/>
  <c r="H17" i="3" s="1"/>
  <c r="G26" i="3"/>
  <c r="H26" i="3" s="1"/>
  <c r="G27" i="3"/>
  <c r="H27" i="3" s="1"/>
  <c r="G18" i="3"/>
  <c r="H18" i="3" s="1"/>
  <c r="G23" i="3"/>
  <c r="H23" i="3" s="1"/>
  <c r="G9" i="3"/>
  <c r="H9" i="3" s="1"/>
  <c r="G24" i="3"/>
  <c r="H24" i="3" s="1"/>
  <c r="G4" i="3"/>
  <c r="H4" i="3" s="1"/>
  <c r="G14" i="3"/>
  <c r="H14" i="3" s="1"/>
  <c r="G19" i="3"/>
  <c r="H19" i="3" s="1"/>
  <c r="G20" i="3"/>
  <c r="H20" i="3" s="1"/>
  <c r="G15" i="3"/>
  <c r="H15" i="3" s="1"/>
  <c r="G5" i="3"/>
  <c r="H5" i="3" s="1"/>
  <c r="G6" i="3"/>
  <c r="H6" i="3" s="1"/>
  <c r="G10" i="3"/>
  <c r="H10" i="3" s="1"/>
  <c r="G12" i="3"/>
  <c r="H12" i="3" s="1"/>
  <c r="C31" i="2"/>
  <c r="D31" i="2" s="1"/>
  <c r="M22" i="2"/>
  <c r="K31" i="2"/>
  <c r="L16" i="2"/>
  <c r="L31" i="2" s="1"/>
  <c r="L32" i="2" s="1"/>
  <c r="N28" i="3" l="1"/>
  <c r="O16" i="3"/>
  <c r="O28" i="3" s="1"/>
  <c r="N22" i="2"/>
  <c r="N31" i="2" s="1"/>
  <c r="N32" i="2" s="1"/>
  <c r="M31" i="2"/>
  <c r="M32" i="2" s="1"/>
  <c r="E31" i="2"/>
  <c r="O10" i="2"/>
  <c r="O31" i="2" s="1"/>
  <c r="O32" i="2" s="1"/>
  <c r="I31" i="2" l="1"/>
  <c r="G31" i="2"/>
  <c r="H31" i="2" s="1"/>
  <c r="F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Girgis, Germin</author>
  </authors>
  <commentList>
    <comment ref="E1" authorId="0" shapeId="0" xr:uid="{A7370888-146A-43AF-94CC-811002B8A58B}">
      <text>
        <r>
          <rPr>
            <b/>
            <sz val="9"/>
            <color indexed="81"/>
            <rFont val="Tahoma"/>
            <family val="2"/>
          </rPr>
          <t>Girgis, Germin:</t>
        </r>
        <r>
          <rPr>
            <sz val="9"/>
            <color indexed="81"/>
            <rFont val="Tahoma"/>
            <family val="2"/>
          </rPr>
          <t xml:space="preserve">
Calculated on 30% 
</t>
        </r>
      </text>
    </comment>
    <comment ref="B7" authorId="0" shapeId="0" xr:uid="{F7418F42-A298-45F7-902F-2556749EACAD}">
      <text>
        <r>
          <rPr>
            <b/>
            <sz val="9"/>
            <color indexed="81"/>
            <rFont val="Tahoma"/>
            <family val="2"/>
          </rPr>
          <t>Girgis, Germin:</t>
        </r>
        <r>
          <rPr>
            <sz val="9"/>
            <color indexed="81"/>
            <rFont val="Tahoma"/>
            <family val="2"/>
          </rPr>
          <t xml:space="preserve">
Includes Cosmcs &amp; McDonalds CAN. </t>
        </r>
      </text>
    </comment>
    <comment ref="C17" authorId="0" shapeId="0" xr:uid="{21350B5C-6978-4765-8522-6D2084C1759F}">
      <text>
        <r>
          <rPr>
            <b/>
            <sz val="9"/>
            <color indexed="81"/>
            <rFont val="Tahoma"/>
            <family val="2"/>
          </rPr>
          <t>Girgis, Germin:</t>
        </r>
        <r>
          <rPr>
            <sz val="9"/>
            <color indexed="81"/>
            <rFont val="Tahoma"/>
            <family val="2"/>
          </rPr>
          <t xml:space="preserve">
Years to get into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Girgis, Germin</author>
  </authors>
  <commentList>
    <comment ref="C2" authorId="0" shapeId="0" xr:uid="{1763AB83-2DCF-4F4E-B485-D6FDFAEDEBD2}">
      <text>
        <r>
          <rPr>
            <b/>
            <sz val="9"/>
            <color indexed="81"/>
            <rFont val="Tahoma"/>
            <charset val="1"/>
          </rPr>
          <t>Girgis, Germin:</t>
        </r>
        <r>
          <rPr>
            <sz val="9"/>
            <color indexed="81"/>
            <rFont val="Tahoma"/>
            <charset val="1"/>
          </rPr>
          <t xml:space="preserve">
Both are desired packaging as different products have different heat level for the thickness of the bottles</t>
        </r>
      </text>
    </comment>
    <comment ref="B3" authorId="0" shapeId="0" xr:uid="{1257EBB7-DAF6-4B2E-A9D0-0F76C9BBEB85}">
      <text>
        <r>
          <rPr>
            <b/>
            <sz val="9"/>
            <color indexed="81"/>
            <rFont val="Tahoma"/>
            <charset val="1"/>
          </rPr>
          <t>Girgis, Germin:</t>
        </r>
        <r>
          <rPr>
            <sz val="9"/>
            <color indexed="81"/>
            <rFont val="Tahoma"/>
            <charset val="1"/>
          </rPr>
          <t xml:space="preserve">
NA market outlook for aseptic PET continues to be strong, creating a compelling environment for market entry via a new aseptic site. The US low acid/high acid market shows continued growth at projected 9-15% CAGR 2024-2028; aseptic PET projection is 8-15% CAGR. Consumer preference for “better-for-you” and convenience formats are key drivers of aseptic PET demand. PET market dynamics are competitive with HDPE and carton, including cost/capacity advantages for rPET and future US PET capacity expansions ensuring supply. Customer momentum favors PET over HDPE because of mold flexibility and also recyclability of PET over carton.</t>
        </r>
      </text>
    </comment>
    <comment ref="B5" authorId="0" shapeId="0" xr:uid="{26108452-2233-4949-A260-FA2C0FE93AAE}">
      <text>
        <r>
          <rPr>
            <b/>
            <sz val="9"/>
            <color indexed="81"/>
            <rFont val="Tahoma"/>
            <charset val="1"/>
          </rPr>
          <t>Girgis, Germin:</t>
        </r>
        <r>
          <rPr>
            <sz val="9"/>
            <color indexed="81"/>
            <rFont val="Tahoma"/>
            <charset val="1"/>
          </rPr>
          <t xml:space="preserve">
80% drums 
20% totes </t>
        </r>
      </text>
    </comment>
  </commentList>
</comments>
</file>

<file path=xl/sharedStrings.xml><?xml version="1.0" encoding="utf-8"?>
<sst xmlns="http://schemas.openxmlformats.org/spreadsheetml/2006/main" count="351" uniqueCount="179">
  <si>
    <t xml:space="preserve">Customer </t>
  </si>
  <si>
    <t>Customer Pot. Ingr. Syst. (in USD)</t>
  </si>
  <si>
    <t>Customer Pot. Ingr. Syst. (n €)</t>
  </si>
  <si>
    <t>Döhler Ingr. Syst. Potential (in USD)</t>
  </si>
  <si>
    <t>Döhler Ingr. Syst. Potential (in €)</t>
  </si>
  <si>
    <t>Döhler Ingr. Syst. Pot. (in kg)</t>
  </si>
  <si>
    <t>Döhler Ingr. Syst. Pot. (in mt)</t>
  </si>
  <si>
    <t>Product Type</t>
  </si>
  <si>
    <t>2025 (in mt)</t>
  </si>
  <si>
    <t>2026 (in mt)</t>
  </si>
  <si>
    <t>2027 (in mt)</t>
  </si>
  <si>
    <t>2028 (in mt)</t>
  </si>
  <si>
    <t>aseptic/non-aseptic</t>
  </si>
  <si>
    <t>B2B Packaging</t>
  </si>
  <si>
    <t>Compounds</t>
  </si>
  <si>
    <t>Carlsberg</t>
  </si>
  <si>
    <t xml:space="preserve">Compound </t>
  </si>
  <si>
    <t xml:space="preserve">aseptic </t>
  </si>
  <si>
    <t>Arca, Drum 55 gal</t>
  </si>
  <si>
    <t>Arizona</t>
  </si>
  <si>
    <t>Drum 55 gal</t>
  </si>
  <si>
    <t>Bacardi</t>
  </si>
  <si>
    <t>Pernod Ricard</t>
  </si>
  <si>
    <t>Suntory (PBV)</t>
  </si>
  <si>
    <t>Conc. Compound</t>
  </si>
  <si>
    <t>non-aseptic</t>
  </si>
  <si>
    <t>Canister 5 gal HDPE</t>
  </si>
  <si>
    <t>Tim Hortons</t>
  </si>
  <si>
    <t xml:space="preserve">Tote 1000 L </t>
  </si>
  <si>
    <t>Bragg</t>
  </si>
  <si>
    <t>Arcadia</t>
  </si>
  <si>
    <t>Stateside</t>
  </si>
  <si>
    <t xml:space="preserve">Monster  </t>
  </si>
  <si>
    <t>aseptic</t>
  </si>
  <si>
    <t>Turkey Hill</t>
  </si>
  <si>
    <t>Link 19</t>
  </si>
  <si>
    <t xml:space="preserve">Gorilla </t>
  </si>
  <si>
    <t xml:space="preserve">Milo's </t>
  </si>
  <si>
    <t>Heineken</t>
  </si>
  <si>
    <t xml:space="preserve">Wis Pak </t>
  </si>
  <si>
    <t xml:space="preserve">Talking Rain </t>
  </si>
  <si>
    <t>Kroger</t>
  </si>
  <si>
    <t xml:space="preserve">HEB </t>
  </si>
  <si>
    <t>Olipop</t>
  </si>
  <si>
    <t>King Juice Company (Calypso)</t>
  </si>
  <si>
    <t>Whole Foods</t>
  </si>
  <si>
    <t>Gordon Biersch</t>
  </si>
  <si>
    <t>KDP</t>
  </si>
  <si>
    <t>TOTAL</t>
  </si>
  <si>
    <t>VOL</t>
  </si>
  <si>
    <t>Average Sales Price</t>
  </si>
  <si>
    <t>GM/kg</t>
  </si>
  <si>
    <t>CM1/kg</t>
  </si>
  <si>
    <t xml:space="preserve">Ryl </t>
  </si>
  <si>
    <t xml:space="preserve">Life Aid </t>
  </si>
  <si>
    <t>Cellucor</t>
  </si>
  <si>
    <t>Kill Cliff</t>
  </si>
  <si>
    <t>Brunswick Bierworks</t>
  </si>
  <si>
    <t>New Belgium</t>
  </si>
  <si>
    <t xml:space="preserve">Sierra Nevada </t>
  </si>
  <si>
    <t>B2B Level 3</t>
  </si>
  <si>
    <t>Customer</t>
  </si>
  <si>
    <t xml:space="preserve">Doehler Potential ($) </t>
  </si>
  <si>
    <t xml:space="preserve">Product Type </t>
  </si>
  <si>
    <t xml:space="preserve">2023 (in MT) </t>
  </si>
  <si>
    <t xml:space="preserve">2024 (in MT) </t>
  </si>
  <si>
    <t xml:space="preserve">2025 (in MT) </t>
  </si>
  <si>
    <t xml:space="preserve">2026 (in MT) </t>
  </si>
  <si>
    <t xml:space="preserve">2027 (in MT) </t>
  </si>
  <si>
    <t xml:space="preserve">2028 (in MT) </t>
  </si>
  <si>
    <t xml:space="preserve">Aseptic/Non Aseptic </t>
  </si>
  <si>
    <t>Syrups</t>
  </si>
  <si>
    <t xml:space="preserve">Starbucks </t>
  </si>
  <si>
    <t xml:space="preserve">Refreshers / Concentrates 
Syrups with &amp; w/out dairy
Coffee / Tea Concentrates 
Lemonade 
Kettle Cooked Sauces (Dairy) 
Plant-based sauces 
Purees </t>
  </si>
  <si>
    <t>Bottle &amp; Tetra/rPET</t>
  </si>
  <si>
    <t xml:space="preserve">Tim Hortons </t>
  </si>
  <si>
    <t xml:space="preserve">Panera </t>
  </si>
  <si>
    <t xml:space="preserve">Tropical Smoothie </t>
  </si>
  <si>
    <t>Concentrates</t>
  </si>
  <si>
    <t>Bottle</t>
  </si>
  <si>
    <t xml:space="preserve">McDonalds  </t>
  </si>
  <si>
    <t>Bottle &amp; BIB</t>
  </si>
  <si>
    <t xml:space="preserve">Dunkin </t>
  </si>
  <si>
    <t xml:space="preserve">Burger King  </t>
  </si>
  <si>
    <t xml:space="preserve">Refreshers / Concentrates 
Syrups with &amp; w/out dairy
Coffee / Tea Concentrates 
Lemonade </t>
  </si>
  <si>
    <t xml:space="preserve">Bottle &amp; Pouch </t>
  </si>
  <si>
    <t xml:space="preserve">Wendys </t>
  </si>
  <si>
    <t>Refreshers / Concentrates 
Coffee / Tea Concentrates 
Lemonade</t>
  </si>
  <si>
    <t xml:space="preserve">Popeyes </t>
  </si>
  <si>
    <t xml:space="preserve">Bottles </t>
  </si>
  <si>
    <t xml:space="preserve">Whataburger </t>
  </si>
  <si>
    <t xml:space="preserve">Refreshers / Concentrates 
Coffee / Tea Concentrates 
Lemonade </t>
  </si>
  <si>
    <t xml:space="preserve">Chick Fil A </t>
  </si>
  <si>
    <t>Moe's</t>
  </si>
  <si>
    <t xml:space="preserve">Refreshers / Concentrates 
Lemonade </t>
  </si>
  <si>
    <t xml:space="preserve">Auntie Ann's </t>
  </si>
  <si>
    <t>Refreshers / Concentrates 
Lemonade</t>
  </si>
  <si>
    <t xml:space="preserve">Jamba Juice </t>
  </si>
  <si>
    <t xml:space="preserve">Taco Bell </t>
  </si>
  <si>
    <t xml:space="preserve">Sonic </t>
  </si>
  <si>
    <t xml:space="preserve">BIB, Bottles </t>
  </si>
  <si>
    <t xml:space="preserve">Arbys </t>
  </si>
  <si>
    <t xml:space="preserve">7 Eleven </t>
  </si>
  <si>
    <t>Refreshers / Concentrates 
Syrups with &amp; w/out dairy
Coffee / Tea Concentrates 
Lemonade</t>
  </si>
  <si>
    <t xml:space="preserve">Circle K </t>
  </si>
  <si>
    <t xml:space="preserve">Casey's General Store </t>
  </si>
  <si>
    <t xml:space="preserve">RaceTrac </t>
  </si>
  <si>
    <t xml:space="preserve">WaWa </t>
  </si>
  <si>
    <t xml:space="preserve">Sysco </t>
  </si>
  <si>
    <t xml:space="preserve">Bottles, totes, drums </t>
  </si>
  <si>
    <t xml:space="preserve">McLane </t>
  </si>
  <si>
    <t xml:space="preserve">Gordon Foods </t>
  </si>
  <si>
    <t xml:space="preserve">US Foods </t>
  </si>
  <si>
    <t xml:space="preserve">Bottle , Totes &amp; Drums </t>
  </si>
  <si>
    <t xml:space="preserve">Bottles, Tetra &amp; Squeeze bottles </t>
  </si>
  <si>
    <t xml:space="preserve">Bottles &amp; Liquid Pouch </t>
  </si>
  <si>
    <t xml:space="preserve">BIB, Bottles &amp; Squeeze Bottle </t>
  </si>
  <si>
    <t xml:space="preserve">Aseptic &amp; Non Aseptic </t>
  </si>
  <si>
    <t xml:space="preserve">Non Aseptic </t>
  </si>
  <si>
    <t xml:space="preserve">Packaging </t>
  </si>
  <si>
    <t xml:space="preserve">Bottle Type </t>
  </si>
  <si>
    <t xml:space="preserve">Sizes </t>
  </si>
  <si>
    <t xml:space="preserve">product Type </t>
  </si>
  <si>
    <t xml:space="preserve">Customers </t>
  </si>
  <si>
    <t xml:space="preserve">2025  (in MT) </t>
  </si>
  <si>
    <t xml:space="preserve">2026  (in MT) </t>
  </si>
  <si>
    <t xml:space="preserve">2027  (in MT) </t>
  </si>
  <si>
    <t xml:space="preserve">2028  (in MT) </t>
  </si>
  <si>
    <t xml:space="preserve">Line Supplier </t>
  </si>
  <si>
    <t xml:space="preserve">Multi-Serve Bottle </t>
  </si>
  <si>
    <t>PET, HDPE</t>
  </si>
  <si>
    <t>Panera, Starbucks, Dunkin’, McDonald’s US, Wendy’s, Tropical Smoothie Café, CosMc’s</t>
  </si>
  <si>
    <t>Squeeze Bottle</t>
  </si>
  <si>
    <t>Kettle Cooked Dairy Sauces for ice cream toppings &amp; coffee
Fruit Sauces 
Plant-based Sauces</t>
  </si>
  <si>
    <t xml:space="preserve">Dunkin’, US Foods, Coffee Chains, C Stores </t>
  </si>
  <si>
    <t>Aseptic Bottle / Carton</t>
  </si>
  <si>
    <t xml:space="preserve">Refreshers
Lemonade Concentrate
Coffee/Tea Concentrates
Plant-Based Milks
Smoothie Bases 
Purees </t>
  </si>
  <si>
    <t>Bag-in-Box</t>
  </si>
  <si>
    <t>Low &amp; High Acid Aseptic BIB</t>
  </si>
  <si>
    <t>Smoothie Bases
Bakery Glaze
Purees 
Lemonade Concentrate
Refresher Concentrates 
Frappe Bases (Dairy Capabilities)
Juice 
Sauces / Plant-based Sauces
Syrups</t>
  </si>
  <si>
    <t xml:space="preserve">McDonald’s US, McDonald’s Canada,   </t>
  </si>
  <si>
    <t>Liquid Pouch</t>
  </si>
  <si>
    <t>Plastic</t>
  </si>
  <si>
    <t>Kettle Cooked Sauces (Dairy Capabilities) 
Plant-Based Sauces
Plant-Based Soft Serve Base</t>
  </si>
  <si>
    <t xml:space="preserve">Starbucks, Chick-fil-A, Burger King </t>
  </si>
  <si>
    <t>Totes / Drums</t>
  </si>
  <si>
    <t>Tim Hortons, Panera, US Foods, Arcadia, Suntory(PBV), WisPak</t>
  </si>
  <si>
    <t xml:space="preserve">Packaging Type </t>
  </si>
  <si>
    <r>
      <t xml:space="preserve">9 oz. 
</t>
    </r>
    <r>
      <rPr>
        <b/>
        <sz val="11"/>
        <color theme="1"/>
        <rFont val="Calibri"/>
        <family val="2"/>
        <scheme val="minor"/>
      </rPr>
      <t>12 oz. / 355 mL</t>
    </r>
    <r>
      <rPr>
        <sz val="11"/>
        <color theme="1"/>
        <rFont val="Calibri"/>
        <family val="2"/>
        <scheme val="minor"/>
      </rPr>
      <t xml:space="preserve">
16.9 oz. /500mL </t>
    </r>
  </si>
  <si>
    <r>
      <t xml:space="preserve">
750 mL
</t>
    </r>
    <r>
      <rPr>
        <b/>
        <sz val="11"/>
        <color theme="1"/>
        <rFont val="Calibri"/>
        <family val="2"/>
        <scheme val="minor"/>
      </rPr>
      <t xml:space="preserve">1 L </t>
    </r>
    <r>
      <rPr>
        <sz val="11"/>
        <color theme="1"/>
        <rFont val="Calibri"/>
        <family val="2"/>
        <scheme val="minor"/>
      </rPr>
      <t xml:space="preserve">
46 oz</t>
    </r>
    <r>
      <rPr>
        <b/>
        <sz val="11"/>
        <color theme="1"/>
        <rFont val="Calibri"/>
        <family val="2"/>
        <scheme val="minor"/>
      </rPr>
      <t>. 
Square 64 oz. 
64 oz. 
128 oz. / 1-gallon</t>
    </r>
  </si>
  <si>
    <r>
      <t xml:space="preserve"> 
</t>
    </r>
    <r>
      <rPr>
        <b/>
        <sz val="11"/>
        <color theme="1"/>
        <rFont val="Calibri"/>
        <family val="2"/>
        <scheme val="minor"/>
      </rPr>
      <t xml:space="preserve">1 L </t>
    </r>
    <r>
      <rPr>
        <sz val="11"/>
        <color theme="1"/>
        <rFont val="Calibri"/>
        <family val="2"/>
        <scheme val="minor"/>
      </rPr>
      <t xml:space="preserve">
46 oz. 
</t>
    </r>
    <r>
      <rPr>
        <b/>
        <sz val="11"/>
        <color theme="1"/>
        <rFont val="Calibri"/>
        <family val="2"/>
        <scheme val="minor"/>
      </rPr>
      <t xml:space="preserve">48 oz. </t>
    </r>
    <r>
      <rPr>
        <sz val="11"/>
        <color theme="1"/>
        <rFont val="Calibri"/>
        <family val="2"/>
        <scheme val="minor"/>
      </rPr>
      <t xml:space="preserve">
64 oz. </t>
    </r>
  </si>
  <si>
    <r>
      <t xml:space="preserve">3 Liter
</t>
    </r>
    <r>
      <rPr>
        <sz val="11"/>
        <color rgb="FF000000"/>
        <rFont val="Calibri"/>
        <family val="2"/>
      </rPr>
      <t>5 Liter
1-Gal
2-Gal</t>
    </r>
    <r>
      <rPr>
        <b/>
        <sz val="11"/>
        <color rgb="FF000000"/>
        <rFont val="Calibri"/>
        <family val="2"/>
      </rPr>
      <t xml:space="preserve">
2.5-Gal
</t>
    </r>
    <r>
      <rPr>
        <sz val="11"/>
        <color rgb="FF000000"/>
        <rFont val="Calibri"/>
        <family val="2"/>
      </rPr>
      <t>5-Gal</t>
    </r>
  </si>
  <si>
    <r>
      <t xml:space="preserve">Flexible Film Packaging 
</t>
    </r>
    <r>
      <rPr>
        <b/>
        <sz val="11"/>
        <color theme="1"/>
        <rFont val="Calibri"/>
        <family val="2"/>
        <scheme val="minor"/>
      </rPr>
      <t>8 oz</t>
    </r>
    <r>
      <rPr>
        <sz val="11"/>
        <color theme="1"/>
        <rFont val="Calibri"/>
        <family val="2"/>
        <scheme val="minor"/>
      </rPr>
      <t>. – 48 oz.</t>
    </r>
  </si>
  <si>
    <t xml:space="preserve">Syrups </t>
  </si>
  <si>
    <t xml:space="preserve">Refreshers / Concentrates 
Shake Syrups
Lemonade </t>
  </si>
  <si>
    <t>Concentrates 
Lemonade</t>
  </si>
  <si>
    <t xml:space="preserve">Concentrates 
Smoothie Bases </t>
  </si>
  <si>
    <t xml:space="preserve">Budget 2024 (in MT) </t>
  </si>
  <si>
    <r>
      <t xml:space="preserve"> </t>
    </r>
    <r>
      <rPr>
        <b/>
        <sz val="11"/>
        <color theme="1"/>
        <rFont val="Calibri"/>
        <family val="2"/>
        <scheme val="minor"/>
      </rPr>
      <t>Promach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Krones</t>
    </r>
    <r>
      <rPr>
        <sz val="11"/>
        <color theme="1"/>
        <rFont val="Calibri"/>
        <family val="2"/>
        <scheme val="minor"/>
      </rPr>
      <t xml:space="preserve">, Fogg, Serac, Accutek, Jbt Stork </t>
    </r>
  </si>
  <si>
    <r>
      <rPr>
        <b/>
        <sz val="11"/>
        <color theme="1"/>
        <rFont val="Calibri"/>
        <family val="2"/>
        <scheme val="minor"/>
      </rPr>
      <t>Procomac</t>
    </r>
    <r>
      <rPr>
        <sz val="11"/>
        <color theme="1"/>
        <rFont val="Calibri"/>
        <family val="2"/>
        <scheme val="minor"/>
      </rPr>
      <t>, Tetra, Sig, Krones, Sidel</t>
    </r>
  </si>
  <si>
    <r>
      <rPr>
        <b/>
        <sz val="11"/>
        <color theme="1"/>
        <rFont val="Calibri"/>
        <family val="2"/>
        <scheme val="minor"/>
      </rPr>
      <t>Scholle</t>
    </r>
    <r>
      <rPr>
        <sz val="11"/>
        <color theme="1"/>
        <rFont val="Calibri"/>
        <family val="2"/>
        <scheme val="minor"/>
      </rPr>
      <t>, Alfa Leval, Elpo, Torr</t>
    </r>
  </si>
  <si>
    <r>
      <rPr>
        <b/>
        <sz val="11"/>
        <color theme="1"/>
        <rFont val="Calibri"/>
        <family val="2"/>
        <scheme val="minor"/>
      </rPr>
      <t>Scholle</t>
    </r>
    <r>
      <rPr>
        <sz val="11"/>
        <color theme="1"/>
        <rFont val="Calibri"/>
        <family val="2"/>
        <scheme val="minor"/>
      </rPr>
      <t>, Elpo, Alfa Leval, Torr</t>
    </r>
  </si>
  <si>
    <r>
      <rPr>
        <b/>
        <sz val="11"/>
        <color theme="1"/>
        <rFont val="Calibri"/>
        <family val="2"/>
        <scheme val="minor"/>
      </rPr>
      <t>Cryovac</t>
    </r>
    <r>
      <rPr>
        <sz val="11"/>
        <color theme="1"/>
        <rFont val="Calibri"/>
        <family val="2"/>
        <scheme val="minor"/>
      </rPr>
      <t>, Scholle, Elpo</t>
    </r>
  </si>
  <si>
    <r>
      <t xml:space="preserve"> </t>
    </r>
    <r>
      <rPr>
        <b/>
        <sz val="11"/>
        <color theme="1"/>
        <rFont val="Calibri"/>
        <family val="2"/>
        <scheme val="minor"/>
      </rPr>
      <t>Promach, Krones,</t>
    </r>
    <r>
      <rPr>
        <sz val="11"/>
        <color theme="1"/>
        <rFont val="Calibri"/>
        <family val="2"/>
        <scheme val="minor"/>
      </rPr>
      <t xml:space="preserve"> Fogg, Serac,  Accutek</t>
    </r>
  </si>
  <si>
    <t xml:space="preserve">Refreshers / Concentrates        Syrups with &amp; w/out dairy                 Cocktail mxers                     coffee/tea concentrates                                    lemonades                                  kettle cooked sauces                              purees </t>
  </si>
  <si>
    <t>Budget 2024 (in mt)</t>
  </si>
  <si>
    <t xml:space="preserve">Compounds/Syrups </t>
  </si>
  <si>
    <t>Tropicana *</t>
  </si>
  <si>
    <t>ABI*</t>
  </si>
  <si>
    <t>Molson Coors*</t>
  </si>
  <si>
    <t>Niagara Bottling *</t>
  </si>
  <si>
    <t>Boston Beer*</t>
  </si>
  <si>
    <t>PET/HDPE Bottle</t>
  </si>
  <si>
    <t xml:space="preserve">Drums </t>
  </si>
  <si>
    <t xml:space="preserve">Totes </t>
  </si>
  <si>
    <t xml:space="preserve">1,000 Liters (264 gal.) </t>
  </si>
  <si>
    <t>208 Liters (55 gal.)</t>
  </si>
  <si>
    <t>PET, Tetra</t>
  </si>
  <si>
    <t>Starbucks, Dunkin’, McDonald's, Tim Hortons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</si>
</sst>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7]General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Verdan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4" fillId="0" borderId="0" xfId="1" applyNumberForma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7" fillId="0" borderId="0" xfId="1" applyFont="1" applyAlignment="1">
      <alignment horizontal="center" vertical="center" wrapText="1"/>
    </xf>
    <xf numFmtId="164" fontId="4" fillId="0" borderId="0" xfId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4" fontId="9" fillId="0" borderId="0" xfId="1" applyNumberFormat="1" applyFont="1" applyAlignment="1">
      <alignment horizontal="center" vertical="center"/>
    </xf>
    <xf numFmtId="4" fontId="8" fillId="0" borderId="0" xfId="0" applyNumberFormat="1" applyFont="1" applyFill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" fontId="8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8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readingOrder="1"/>
    </xf>
    <xf numFmtId="3" fontId="0" fillId="0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Excel Built-in Normal" xfId="1" xr:uid="{B9063F00-AC25-4F73-BB3D-A63A9EFC489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B52A-3CF0-4B31-8B2B-D3052EF049E2}">
  <dimension ref="A1:Q31"/>
  <sheetViews>
    <sheetView tabSelected="1" topLeftCell="G1" zoomScale="70" zoomScaleNormal="70" workbookViewId="0">
      <pane ySplit="1" topLeftCell="A2" activePane="bottomLeft" state="frozen"/>
      <selection pane="bottomLeft" activeCell="B9" sqref="B9"/>
    </sheetView>
  </sheetViews>
  <sheetFormatPr defaultColWidth="11.42578125" defaultRowHeight="15" x14ac:dyDescent="0.25"/>
  <cols>
    <col min="1" max="1" width="16.42578125" style="5" bestFit="1" customWidth="1"/>
    <col min="2" max="2" width="28.140625" style="5" bestFit="1" customWidth="1"/>
    <col min="3" max="3" width="24.28515625" style="5" bestFit="1" customWidth="1"/>
    <col min="4" max="4" width="30.28515625" style="5" bestFit="1" customWidth="1"/>
    <col min="5" max="5" width="22.140625" style="12" bestFit="1" customWidth="1"/>
    <col min="6" max="6" width="22" style="12" bestFit="1" customWidth="1"/>
    <col min="7" max="7" width="24" style="12" bestFit="1" customWidth="1"/>
    <col min="8" max="8" width="26.85546875" style="12" bestFit="1" customWidth="1"/>
    <col min="9" max="9" width="48.85546875" style="12" bestFit="1" customWidth="1"/>
    <col min="10" max="10" width="22.140625" style="12" hidden="1" customWidth="1"/>
    <col min="11" max="11" width="32" style="5" bestFit="1" customWidth="1"/>
    <col min="12" max="15" width="23" style="5" bestFit="1" customWidth="1"/>
    <col min="16" max="16" width="24" style="5" bestFit="1" customWidth="1"/>
    <col min="17" max="17" width="29.5703125" style="5" bestFit="1" customWidth="1"/>
    <col min="18" max="16384" width="11.42578125" style="5"/>
  </cols>
  <sheetData>
    <row r="1" spans="1:17" ht="57" customHeight="1" x14ac:dyDescent="0.25">
      <c r="A1" s="2" t="s">
        <v>60</v>
      </c>
      <c r="B1" s="2" t="s">
        <v>61</v>
      </c>
      <c r="C1" s="2" t="s">
        <v>1</v>
      </c>
      <c r="D1" s="2" t="s">
        <v>2</v>
      </c>
      <c r="E1" s="14" t="s">
        <v>62</v>
      </c>
      <c r="F1" s="2" t="s">
        <v>4</v>
      </c>
      <c r="G1" s="2" t="s">
        <v>5</v>
      </c>
      <c r="H1" s="2" t="s">
        <v>6</v>
      </c>
      <c r="I1" s="2" t="s">
        <v>63</v>
      </c>
      <c r="J1" s="2" t="s">
        <v>64</v>
      </c>
      <c r="K1" s="4" t="s">
        <v>157</v>
      </c>
      <c r="L1" s="4" t="s">
        <v>66</v>
      </c>
      <c r="M1" s="4" t="s">
        <v>67</v>
      </c>
      <c r="N1" s="4" t="s">
        <v>68</v>
      </c>
      <c r="O1" s="4" t="s">
        <v>69</v>
      </c>
      <c r="P1" s="2" t="s">
        <v>70</v>
      </c>
      <c r="Q1" s="4" t="s">
        <v>147</v>
      </c>
    </row>
    <row r="2" spans="1:17" ht="105" x14ac:dyDescent="0.25">
      <c r="A2" s="43" t="s">
        <v>71</v>
      </c>
      <c r="B2" s="1" t="s">
        <v>72</v>
      </c>
      <c r="C2" s="7">
        <v>180000000</v>
      </c>
      <c r="D2" s="7">
        <f t="shared" ref="D2:D27" si="0">SUM(C2*0.94)</f>
        <v>169200000</v>
      </c>
      <c r="E2" s="7">
        <f t="shared" ref="E2:E27" si="1">SUM(C2*0.3)</f>
        <v>54000000</v>
      </c>
      <c r="F2" s="7">
        <f t="shared" ref="F2:F28" si="2">SUM(E2*0.94)</f>
        <v>50760000</v>
      </c>
      <c r="G2" s="7">
        <f t="shared" ref="G2:G28" si="3">SUM(E2/3)</f>
        <v>18000000</v>
      </c>
      <c r="H2" s="7">
        <f t="shared" ref="H2:H27" si="4">SUM(G2*0.001)</f>
        <v>18000</v>
      </c>
      <c r="I2" s="15" t="s">
        <v>73</v>
      </c>
      <c r="J2" s="7">
        <v>0</v>
      </c>
      <c r="K2" s="7">
        <v>0</v>
      </c>
      <c r="L2" s="7">
        <v>50</v>
      </c>
      <c r="M2" s="7">
        <v>1000</v>
      </c>
      <c r="N2" s="7">
        <v>3000</v>
      </c>
      <c r="O2" s="7">
        <v>6000</v>
      </c>
      <c r="P2" s="15" t="s">
        <v>117</v>
      </c>
      <c r="Q2" s="5" t="s">
        <v>74</v>
      </c>
    </row>
    <row r="3" spans="1:17" ht="105" x14ac:dyDescent="0.25">
      <c r="A3" s="43"/>
      <c r="B3" s="1" t="s">
        <v>82</v>
      </c>
      <c r="C3" s="7">
        <v>100000000</v>
      </c>
      <c r="D3" s="7">
        <f t="shared" si="0"/>
        <v>94000000</v>
      </c>
      <c r="E3" s="7">
        <f t="shared" si="1"/>
        <v>30000000</v>
      </c>
      <c r="F3" s="7">
        <f t="shared" si="2"/>
        <v>28200000</v>
      </c>
      <c r="G3" s="7">
        <f t="shared" si="3"/>
        <v>10000000</v>
      </c>
      <c r="H3" s="7">
        <f t="shared" si="4"/>
        <v>10000</v>
      </c>
      <c r="I3" s="15" t="s">
        <v>73</v>
      </c>
      <c r="J3" s="7"/>
      <c r="K3" s="7">
        <v>0</v>
      </c>
      <c r="L3" s="7">
        <v>1000</v>
      </c>
      <c r="M3" s="7">
        <v>1200</v>
      </c>
      <c r="N3" s="7">
        <v>1440</v>
      </c>
      <c r="O3" s="7">
        <v>1728</v>
      </c>
      <c r="P3" s="15" t="s">
        <v>117</v>
      </c>
      <c r="Q3" s="19" t="s">
        <v>114</v>
      </c>
    </row>
    <row r="4" spans="1:17" ht="60" x14ac:dyDescent="0.25">
      <c r="A4" s="43"/>
      <c r="B4" s="1" t="s">
        <v>102</v>
      </c>
      <c r="C4" s="7">
        <v>100000000</v>
      </c>
      <c r="D4" s="7">
        <f t="shared" si="0"/>
        <v>94000000</v>
      </c>
      <c r="E4" s="7">
        <f t="shared" si="1"/>
        <v>30000000</v>
      </c>
      <c r="F4" s="7">
        <f t="shared" si="2"/>
        <v>28200000</v>
      </c>
      <c r="G4" s="7">
        <f t="shared" si="3"/>
        <v>10000000</v>
      </c>
      <c r="H4" s="7">
        <f t="shared" si="4"/>
        <v>10000</v>
      </c>
      <c r="I4" s="15" t="s">
        <v>103</v>
      </c>
      <c r="J4" s="7"/>
      <c r="K4" s="7">
        <v>0</v>
      </c>
      <c r="L4" s="7">
        <v>50</v>
      </c>
      <c r="M4" s="7">
        <v>1000</v>
      </c>
      <c r="N4" s="7">
        <v>3000</v>
      </c>
      <c r="O4" s="7">
        <v>6000</v>
      </c>
      <c r="P4" s="7" t="s">
        <v>118</v>
      </c>
      <c r="Q4" s="13" t="s">
        <v>116</v>
      </c>
    </row>
    <row r="5" spans="1:17" ht="30" x14ac:dyDescent="0.25">
      <c r="A5" s="43"/>
      <c r="B5" s="1" t="s">
        <v>108</v>
      </c>
      <c r="C5" s="7">
        <v>100000000</v>
      </c>
      <c r="D5" s="7">
        <f t="shared" si="0"/>
        <v>94000000</v>
      </c>
      <c r="E5" s="7">
        <f t="shared" si="1"/>
        <v>30000000</v>
      </c>
      <c r="F5" s="7">
        <f t="shared" si="2"/>
        <v>28200000</v>
      </c>
      <c r="G5" s="7">
        <f t="shared" si="3"/>
        <v>10000000</v>
      </c>
      <c r="H5" s="7">
        <f t="shared" si="4"/>
        <v>10000</v>
      </c>
      <c r="I5" s="15" t="s">
        <v>155</v>
      </c>
      <c r="J5" s="7"/>
      <c r="K5" s="7">
        <v>0</v>
      </c>
      <c r="L5" s="7">
        <v>100</v>
      </c>
      <c r="M5" s="7">
        <v>500</v>
      </c>
      <c r="N5" s="7">
        <v>1000</v>
      </c>
      <c r="O5" s="7">
        <v>3000</v>
      </c>
      <c r="P5" s="15" t="s">
        <v>117</v>
      </c>
      <c r="Q5" s="5" t="s">
        <v>109</v>
      </c>
    </row>
    <row r="6" spans="1:17" ht="30" x14ac:dyDescent="0.25">
      <c r="A6" s="43"/>
      <c r="B6" s="1" t="s">
        <v>110</v>
      </c>
      <c r="C6" s="7">
        <v>88000000</v>
      </c>
      <c r="D6" s="7">
        <f t="shared" si="0"/>
        <v>82720000</v>
      </c>
      <c r="E6" s="7">
        <f t="shared" si="1"/>
        <v>26400000</v>
      </c>
      <c r="F6" s="7">
        <f t="shared" si="2"/>
        <v>24816000</v>
      </c>
      <c r="G6" s="7">
        <f t="shared" si="3"/>
        <v>8800000</v>
      </c>
      <c r="H6" s="7">
        <f t="shared" si="4"/>
        <v>8800</v>
      </c>
      <c r="I6" s="15" t="s">
        <v>155</v>
      </c>
      <c r="J6" s="7"/>
      <c r="K6" s="7">
        <v>0</v>
      </c>
      <c r="L6" s="7">
        <v>100</v>
      </c>
      <c r="M6" s="7">
        <v>500</v>
      </c>
      <c r="N6" s="7">
        <v>1000</v>
      </c>
      <c r="O6" s="7">
        <v>3000</v>
      </c>
      <c r="P6" s="15" t="s">
        <v>117</v>
      </c>
      <c r="Q6" s="5" t="s">
        <v>109</v>
      </c>
    </row>
    <row r="7" spans="1:17" ht="60" x14ac:dyDescent="0.25">
      <c r="A7" s="43"/>
      <c r="B7" s="1" t="s">
        <v>80</v>
      </c>
      <c r="C7" s="7">
        <v>75000000</v>
      </c>
      <c r="D7" s="7">
        <f t="shared" si="0"/>
        <v>70500000</v>
      </c>
      <c r="E7" s="7">
        <f t="shared" si="1"/>
        <v>22500000</v>
      </c>
      <c r="F7" s="7">
        <f t="shared" si="2"/>
        <v>21150000</v>
      </c>
      <c r="G7" s="7">
        <f t="shared" si="3"/>
        <v>7500000</v>
      </c>
      <c r="H7" s="7">
        <f t="shared" si="4"/>
        <v>7500</v>
      </c>
      <c r="I7" s="15" t="s">
        <v>103</v>
      </c>
      <c r="J7" s="7">
        <v>61</v>
      </c>
      <c r="K7" s="7">
        <v>3669</v>
      </c>
      <c r="L7" s="7">
        <v>3757</v>
      </c>
      <c r="M7" s="7">
        <f>SUM(L7*1.5)</f>
        <v>5635.5</v>
      </c>
      <c r="N7" s="7">
        <f>SUM(M7*1.5)</f>
        <v>8453.25</v>
      </c>
      <c r="O7" s="7">
        <f>SUM(N7*1.5)</f>
        <v>12679.875</v>
      </c>
      <c r="P7" s="7" t="s">
        <v>118</v>
      </c>
      <c r="Q7" s="7" t="s">
        <v>81</v>
      </c>
    </row>
    <row r="8" spans="1:17" ht="105" x14ac:dyDescent="0.25">
      <c r="A8" s="43"/>
      <c r="B8" s="1" t="s">
        <v>75</v>
      </c>
      <c r="C8" s="7">
        <v>50000000</v>
      </c>
      <c r="D8" s="7">
        <f t="shared" si="0"/>
        <v>47000000</v>
      </c>
      <c r="E8" s="7">
        <f t="shared" si="1"/>
        <v>15000000</v>
      </c>
      <c r="F8" s="7">
        <f t="shared" si="2"/>
        <v>14100000</v>
      </c>
      <c r="G8" s="7">
        <f t="shared" si="3"/>
        <v>5000000</v>
      </c>
      <c r="H8" s="7">
        <f t="shared" si="4"/>
        <v>5000</v>
      </c>
      <c r="I8" s="15" t="s">
        <v>73</v>
      </c>
      <c r="J8" s="40">
        <v>2137</v>
      </c>
      <c r="K8" s="7">
        <v>2252</v>
      </c>
      <c r="L8" s="7">
        <v>2509</v>
      </c>
      <c r="M8" s="7">
        <v>3011</v>
      </c>
      <c r="N8" s="7">
        <v>3613</v>
      </c>
      <c r="O8" s="7">
        <v>4335</v>
      </c>
      <c r="P8" s="15" t="s">
        <v>117</v>
      </c>
      <c r="Q8" s="5" t="s">
        <v>74</v>
      </c>
    </row>
    <row r="9" spans="1:17" ht="30" x14ac:dyDescent="0.25">
      <c r="A9" s="43"/>
      <c r="B9" s="1" t="s">
        <v>99</v>
      </c>
      <c r="C9" s="7">
        <v>50000000</v>
      </c>
      <c r="D9" s="7">
        <f t="shared" si="0"/>
        <v>47000000</v>
      </c>
      <c r="E9" s="7">
        <f t="shared" si="1"/>
        <v>15000000</v>
      </c>
      <c r="F9" s="7">
        <f t="shared" si="2"/>
        <v>14100000</v>
      </c>
      <c r="G9" s="7">
        <f t="shared" si="3"/>
        <v>5000000</v>
      </c>
      <c r="H9" s="7">
        <f t="shared" si="4"/>
        <v>5000</v>
      </c>
      <c r="I9" s="15" t="s">
        <v>96</v>
      </c>
      <c r="J9" s="7"/>
      <c r="K9" s="7">
        <v>0</v>
      </c>
      <c r="L9" s="7">
        <v>450</v>
      </c>
      <c r="M9" s="7">
        <v>540</v>
      </c>
      <c r="N9" s="7">
        <v>648</v>
      </c>
      <c r="O9" s="7">
        <v>777</v>
      </c>
      <c r="P9" s="7" t="s">
        <v>118</v>
      </c>
      <c r="Q9" s="5" t="s">
        <v>100</v>
      </c>
    </row>
    <row r="10" spans="1:17" ht="30" x14ac:dyDescent="0.25">
      <c r="A10" s="43"/>
      <c r="B10" s="1" t="s">
        <v>111</v>
      </c>
      <c r="C10" s="7">
        <v>50000000</v>
      </c>
      <c r="D10" s="7">
        <f t="shared" si="0"/>
        <v>47000000</v>
      </c>
      <c r="E10" s="7">
        <f t="shared" si="1"/>
        <v>15000000</v>
      </c>
      <c r="F10" s="7">
        <f t="shared" si="2"/>
        <v>14100000</v>
      </c>
      <c r="G10" s="7">
        <f t="shared" si="3"/>
        <v>5000000</v>
      </c>
      <c r="H10" s="7">
        <f t="shared" si="4"/>
        <v>5000</v>
      </c>
      <c r="I10" s="15" t="s">
        <v>155</v>
      </c>
      <c r="J10" s="7"/>
      <c r="K10" s="7">
        <v>0</v>
      </c>
      <c r="L10" s="7">
        <v>100</v>
      </c>
      <c r="M10" s="7">
        <v>500</v>
      </c>
      <c r="N10" s="7">
        <v>1000</v>
      </c>
      <c r="O10" s="7">
        <v>3000</v>
      </c>
      <c r="P10" s="15" t="s">
        <v>117</v>
      </c>
      <c r="Q10" s="5" t="s">
        <v>109</v>
      </c>
    </row>
    <row r="11" spans="1:17" ht="105" x14ac:dyDescent="0.25">
      <c r="A11" s="43"/>
      <c r="B11" s="20" t="s">
        <v>76</v>
      </c>
      <c r="C11" s="40">
        <v>40000000</v>
      </c>
      <c r="D11" s="40">
        <f t="shared" si="0"/>
        <v>37600000</v>
      </c>
      <c r="E11" s="40">
        <f t="shared" si="1"/>
        <v>12000000</v>
      </c>
      <c r="F11" s="40">
        <f t="shared" si="2"/>
        <v>11280000</v>
      </c>
      <c r="G11" s="40">
        <f t="shared" si="3"/>
        <v>4000000</v>
      </c>
      <c r="H11" s="40">
        <f t="shared" si="4"/>
        <v>4000</v>
      </c>
      <c r="I11" s="15" t="s">
        <v>73</v>
      </c>
      <c r="J11" s="40">
        <v>9125</v>
      </c>
      <c r="K11" s="7">
        <v>12112</v>
      </c>
      <c r="L11" s="7">
        <v>13876</v>
      </c>
      <c r="M11" s="7">
        <v>16651</v>
      </c>
      <c r="N11" s="7">
        <v>19981</v>
      </c>
      <c r="O11" s="7">
        <v>23977</v>
      </c>
      <c r="P11" s="15" t="s">
        <v>117</v>
      </c>
      <c r="Q11" s="5" t="s">
        <v>113</v>
      </c>
    </row>
    <row r="12" spans="1:17" ht="30" x14ac:dyDescent="0.25">
      <c r="A12" s="43"/>
      <c r="B12" s="1" t="s">
        <v>112</v>
      </c>
      <c r="C12" s="7">
        <v>40000000</v>
      </c>
      <c r="D12" s="7">
        <f t="shared" si="0"/>
        <v>37600000</v>
      </c>
      <c r="E12" s="7">
        <f t="shared" si="1"/>
        <v>12000000</v>
      </c>
      <c r="F12" s="7">
        <f t="shared" si="2"/>
        <v>11280000</v>
      </c>
      <c r="G12" s="7">
        <f t="shared" si="3"/>
        <v>4000000</v>
      </c>
      <c r="H12" s="7">
        <f t="shared" si="4"/>
        <v>4000</v>
      </c>
      <c r="I12" s="15" t="s">
        <v>155</v>
      </c>
      <c r="J12" s="7"/>
      <c r="K12" s="7">
        <v>2</v>
      </c>
      <c r="L12" s="7">
        <v>100</v>
      </c>
      <c r="M12" s="7">
        <v>500</v>
      </c>
      <c r="N12" s="7">
        <v>1000</v>
      </c>
      <c r="O12" s="7">
        <v>3000</v>
      </c>
      <c r="P12" s="15" t="s">
        <v>117</v>
      </c>
      <c r="Q12" s="5" t="s">
        <v>109</v>
      </c>
    </row>
    <row r="13" spans="1:17" ht="60" x14ac:dyDescent="0.25">
      <c r="A13" s="43"/>
      <c r="B13" s="1" t="s">
        <v>83</v>
      </c>
      <c r="C13" s="7">
        <v>30000000</v>
      </c>
      <c r="D13" s="7">
        <f t="shared" si="0"/>
        <v>28200000</v>
      </c>
      <c r="E13" s="7">
        <f t="shared" si="1"/>
        <v>9000000</v>
      </c>
      <c r="F13" s="7">
        <f t="shared" si="2"/>
        <v>8460000</v>
      </c>
      <c r="G13" s="7">
        <f t="shared" si="3"/>
        <v>3000000</v>
      </c>
      <c r="H13" s="7">
        <f t="shared" si="4"/>
        <v>3000</v>
      </c>
      <c r="I13" s="13" t="s">
        <v>84</v>
      </c>
      <c r="J13" s="7"/>
      <c r="K13" s="7">
        <v>8</v>
      </c>
      <c r="L13" s="7">
        <v>81</v>
      </c>
      <c r="M13" s="7">
        <f>SUM(L13*1.5)</f>
        <v>121.5</v>
      </c>
      <c r="N13" s="7">
        <f>SUM(M13*1.5)</f>
        <v>182.25</v>
      </c>
      <c r="O13" s="7">
        <f>SUM(N13*1.5)</f>
        <v>273.375</v>
      </c>
      <c r="P13" s="7" t="s">
        <v>118</v>
      </c>
      <c r="Q13" s="5" t="s">
        <v>85</v>
      </c>
    </row>
    <row r="14" spans="1:17" ht="60" x14ac:dyDescent="0.25">
      <c r="A14" s="43"/>
      <c r="B14" s="1" t="s">
        <v>104</v>
      </c>
      <c r="C14" s="7">
        <v>30000000</v>
      </c>
      <c r="D14" s="7">
        <f t="shared" si="0"/>
        <v>28200000</v>
      </c>
      <c r="E14" s="7">
        <f t="shared" si="1"/>
        <v>9000000</v>
      </c>
      <c r="F14" s="7">
        <f t="shared" si="2"/>
        <v>8460000</v>
      </c>
      <c r="G14" s="7">
        <f t="shared" si="3"/>
        <v>3000000</v>
      </c>
      <c r="H14" s="7">
        <f t="shared" si="4"/>
        <v>3000</v>
      </c>
      <c r="I14" s="15" t="s">
        <v>103</v>
      </c>
      <c r="J14" s="7"/>
      <c r="K14" s="7">
        <v>0</v>
      </c>
      <c r="L14" s="7">
        <v>50</v>
      </c>
      <c r="M14" s="7">
        <v>500</v>
      </c>
      <c r="N14" s="7">
        <v>1000</v>
      </c>
      <c r="O14" s="7">
        <v>1500</v>
      </c>
      <c r="P14" s="7" t="s">
        <v>118</v>
      </c>
      <c r="Q14" s="13" t="s">
        <v>116</v>
      </c>
    </row>
    <row r="15" spans="1:17" ht="60" x14ac:dyDescent="0.25">
      <c r="A15" s="43"/>
      <c r="B15" s="1" t="s">
        <v>107</v>
      </c>
      <c r="C15" s="7">
        <v>30000000</v>
      </c>
      <c r="D15" s="7">
        <f t="shared" si="0"/>
        <v>28200000</v>
      </c>
      <c r="E15" s="7">
        <f t="shared" si="1"/>
        <v>9000000</v>
      </c>
      <c r="F15" s="7">
        <f t="shared" si="2"/>
        <v>8460000</v>
      </c>
      <c r="G15" s="7">
        <f t="shared" si="3"/>
        <v>3000000</v>
      </c>
      <c r="H15" s="7">
        <f t="shared" si="4"/>
        <v>3000</v>
      </c>
      <c r="I15" s="15" t="s">
        <v>103</v>
      </c>
      <c r="J15" s="7"/>
      <c r="K15" s="7">
        <v>0</v>
      </c>
      <c r="L15" s="7">
        <v>50</v>
      </c>
      <c r="M15" s="7">
        <v>500</v>
      </c>
      <c r="N15" s="7">
        <v>1000</v>
      </c>
      <c r="O15" s="7">
        <v>1500</v>
      </c>
      <c r="P15" s="7" t="s">
        <v>118</v>
      </c>
      <c r="Q15" s="13" t="s">
        <v>116</v>
      </c>
    </row>
    <row r="16" spans="1:17" x14ac:dyDescent="0.25">
      <c r="A16" s="43"/>
      <c r="B16" s="1" t="s">
        <v>77</v>
      </c>
      <c r="C16" s="16">
        <v>25000000</v>
      </c>
      <c r="D16" s="16">
        <f t="shared" si="0"/>
        <v>23500000</v>
      </c>
      <c r="E16" s="7">
        <f t="shared" si="1"/>
        <v>7500000</v>
      </c>
      <c r="F16" s="7">
        <f t="shared" si="2"/>
        <v>7050000</v>
      </c>
      <c r="G16" s="7">
        <f t="shared" si="3"/>
        <v>2500000</v>
      </c>
      <c r="H16" s="7">
        <f t="shared" si="4"/>
        <v>2500</v>
      </c>
      <c r="I16" s="7" t="s">
        <v>78</v>
      </c>
      <c r="J16" s="7">
        <v>115</v>
      </c>
      <c r="K16" s="7">
        <v>228</v>
      </c>
      <c r="L16" s="7">
        <v>331</v>
      </c>
      <c r="M16" s="7">
        <f>SUM(L16*1.5)</f>
        <v>496.5</v>
      </c>
      <c r="N16" s="7">
        <f>SUM(M16*1.5)</f>
        <v>744.75</v>
      </c>
      <c r="O16" s="7">
        <f>SUM(N16*1.5)</f>
        <v>1117.125</v>
      </c>
      <c r="P16" s="7" t="s">
        <v>118</v>
      </c>
      <c r="Q16" s="5" t="s">
        <v>79</v>
      </c>
    </row>
    <row r="17" spans="1:17" ht="60" x14ac:dyDescent="0.25">
      <c r="A17" s="43"/>
      <c r="B17" s="1" t="s">
        <v>92</v>
      </c>
      <c r="C17" s="7">
        <v>20000000</v>
      </c>
      <c r="D17" s="7">
        <f t="shared" si="0"/>
        <v>18800000</v>
      </c>
      <c r="E17" s="7">
        <f t="shared" si="1"/>
        <v>6000000</v>
      </c>
      <c r="F17" s="7">
        <f t="shared" si="2"/>
        <v>5640000</v>
      </c>
      <c r="G17" s="7">
        <f t="shared" si="3"/>
        <v>2000000</v>
      </c>
      <c r="H17" s="7">
        <f t="shared" si="4"/>
        <v>2000</v>
      </c>
      <c r="I17" s="15" t="s">
        <v>84</v>
      </c>
      <c r="J17" s="7"/>
      <c r="K17" s="7">
        <v>0</v>
      </c>
      <c r="L17" s="7">
        <v>0</v>
      </c>
      <c r="M17" s="7">
        <v>333</v>
      </c>
      <c r="N17" s="7">
        <v>400</v>
      </c>
      <c r="O17" s="7">
        <v>480</v>
      </c>
      <c r="P17" s="7" t="s">
        <v>118</v>
      </c>
      <c r="Q17" s="5" t="s">
        <v>115</v>
      </c>
    </row>
    <row r="18" spans="1:17" ht="30" x14ac:dyDescent="0.25">
      <c r="A18" s="43"/>
      <c r="B18" s="1" t="s">
        <v>97</v>
      </c>
      <c r="C18" s="7">
        <v>20000000</v>
      </c>
      <c r="D18" s="7">
        <f t="shared" si="0"/>
        <v>18800000</v>
      </c>
      <c r="E18" s="7">
        <f t="shared" si="1"/>
        <v>6000000</v>
      </c>
      <c r="F18" s="7">
        <f t="shared" si="2"/>
        <v>5640000</v>
      </c>
      <c r="G18" s="7">
        <f t="shared" si="3"/>
        <v>2000000</v>
      </c>
      <c r="H18" s="7">
        <f t="shared" si="4"/>
        <v>2000</v>
      </c>
      <c r="I18" s="15" t="s">
        <v>156</v>
      </c>
      <c r="J18" s="7"/>
      <c r="K18" s="7">
        <v>0</v>
      </c>
      <c r="L18" s="7">
        <v>450</v>
      </c>
      <c r="M18" s="7">
        <v>540</v>
      </c>
      <c r="N18" s="7">
        <v>648</v>
      </c>
      <c r="O18" s="7">
        <v>777</v>
      </c>
      <c r="P18" s="7" t="s">
        <v>118</v>
      </c>
      <c r="Q18" s="5" t="s">
        <v>89</v>
      </c>
    </row>
    <row r="19" spans="1:17" ht="60" x14ac:dyDescent="0.25">
      <c r="A19" s="43"/>
      <c r="B19" s="1" t="s">
        <v>105</v>
      </c>
      <c r="C19" s="7">
        <v>20000000</v>
      </c>
      <c r="D19" s="7">
        <f t="shared" si="0"/>
        <v>18800000</v>
      </c>
      <c r="E19" s="7">
        <f t="shared" si="1"/>
        <v>6000000</v>
      </c>
      <c r="F19" s="7">
        <f t="shared" si="2"/>
        <v>5640000</v>
      </c>
      <c r="G19" s="7">
        <f t="shared" si="3"/>
        <v>2000000</v>
      </c>
      <c r="H19" s="7">
        <f t="shared" si="4"/>
        <v>2000</v>
      </c>
      <c r="I19" s="15" t="s">
        <v>103</v>
      </c>
      <c r="J19" s="7"/>
      <c r="K19" s="7">
        <v>0</v>
      </c>
      <c r="L19" s="7">
        <v>50</v>
      </c>
      <c r="M19" s="7">
        <v>500</v>
      </c>
      <c r="N19" s="7">
        <v>1000</v>
      </c>
      <c r="O19" s="7">
        <v>1500</v>
      </c>
      <c r="P19" s="7" t="s">
        <v>118</v>
      </c>
      <c r="Q19" s="13" t="s">
        <v>116</v>
      </c>
    </row>
    <row r="20" spans="1:17" ht="60" x14ac:dyDescent="0.25">
      <c r="A20" s="43"/>
      <c r="B20" s="1" t="s">
        <v>106</v>
      </c>
      <c r="C20" s="7">
        <v>20000000</v>
      </c>
      <c r="D20" s="7">
        <f t="shared" si="0"/>
        <v>18800000</v>
      </c>
      <c r="E20" s="7">
        <f t="shared" si="1"/>
        <v>6000000</v>
      </c>
      <c r="F20" s="7">
        <f t="shared" si="2"/>
        <v>5640000</v>
      </c>
      <c r="G20" s="7">
        <f t="shared" si="3"/>
        <v>2000000</v>
      </c>
      <c r="H20" s="7">
        <f t="shared" si="4"/>
        <v>2000</v>
      </c>
      <c r="I20" s="15" t="s">
        <v>103</v>
      </c>
      <c r="J20" s="7"/>
      <c r="K20" s="7">
        <v>0</v>
      </c>
      <c r="L20" s="7">
        <v>50</v>
      </c>
      <c r="M20" s="7">
        <v>500</v>
      </c>
      <c r="N20" s="7">
        <v>1000</v>
      </c>
      <c r="O20" s="7">
        <v>1500</v>
      </c>
      <c r="P20" s="7" t="s">
        <v>118</v>
      </c>
      <c r="Q20" s="13" t="s">
        <v>116</v>
      </c>
    </row>
    <row r="21" spans="1:17" ht="45" x14ac:dyDescent="0.25">
      <c r="A21" s="43"/>
      <c r="B21" s="1" t="s">
        <v>86</v>
      </c>
      <c r="C21" s="7">
        <v>15000000</v>
      </c>
      <c r="D21" s="7">
        <f t="shared" si="0"/>
        <v>14100000</v>
      </c>
      <c r="E21" s="7">
        <f t="shared" si="1"/>
        <v>4500000</v>
      </c>
      <c r="F21" s="7">
        <f t="shared" si="2"/>
        <v>4230000</v>
      </c>
      <c r="G21" s="7">
        <f t="shared" si="3"/>
        <v>1500000</v>
      </c>
      <c r="H21" s="7">
        <f t="shared" si="4"/>
        <v>1500</v>
      </c>
      <c r="I21" s="15" t="s">
        <v>87</v>
      </c>
      <c r="J21" s="7"/>
      <c r="K21" s="7">
        <v>40</v>
      </c>
      <c r="L21" s="7">
        <v>48</v>
      </c>
      <c r="M21" s="7">
        <f>SUM(L21*1.5)</f>
        <v>72</v>
      </c>
      <c r="N21" s="7">
        <f>SUM(M21*1.5)</f>
        <v>108</v>
      </c>
      <c r="O21" s="7">
        <f>SUM(N21*1.5)</f>
        <v>162</v>
      </c>
      <c r="P21" s="7" t="s">
        <v>118</v>
      </c>
      <c r="Q21" s="5" t="s">
        <v>89</v>
      </c>
    </row>
    <row r="22" spans="1:17" ht="60" x14ac:dyDescent="0.25">
      <c r="A22" s="43"/>
      <c r="B22" s="1" t="s">
        <v>88</v>
      </c>
      <c r="C22" s="7">
        <v>15000000</v>
      </c>
      <c r="D22" s="7">
        <f t="shared" si="0"/>
        <v>14100000</v>
      </c>
      <c r="E22" s="7">
        <f t="shared" si="1"/>
        <v>4500000</v>
      </c>
      <c r="F22" s="7">
        <f t="shared" si="2"/>
        <v>4230000</v>
      </c>
      <c r="G22" s="7">
        <f t="shared" si="3"/>
        <v>1500000</v>
      </c>
      <c r="H22" s="7">
        <f t="shared" si="4"/>
        <v>1500</v>
      </c>
      <c r="I22" s="15" t="s">
        <v>84</v>
      </c>
      <c r="J22" s="7"/>
      <c r="K22" s="7">
        <v>130</v>
      </c>
      <c r="L22" s="7">
        <v>156</v>
      </c>
      <c r="M22" s="7">
        <v>187</v>
      </c>
      <c r="N22" s="7">
        <v>224</v>
      </c>
      <c r="O22" s="7">
        <v>269</v>
      </c>
      <c r="P22" s="7" t="s">
        <v>118</v>
      </c>
      <c r="Q22" s="5" t="s">
        <v>89</v>
      </c>
    </row>
    <row r="23" spans="1:17" ht="30" x14ac:dyDescent="0.25">
      <c r="A23" s="43"/>
      <c r="B23" s="1" t="s">
        <v>98</v>
      </c>
      <c r="C23" s="7">
        <v>15000000</v>
      </c>
      <c r="D23" s="7">
        <f t="shared" si="0"/>
        <v>14100000</v>
      </c>
      <c r="E23" s="7">
        <f t="shared" si="1"/>
        <v>4500000</v>
      </c>
      <c r="F23" s="7">
        <f t="shared" si="2"/>
        <v>4230000</v>
      </c>
      <c r="G23" s="7">
        <f t="shared" si="3"/>
        <v>1500000</v>
      </c>
      <c r="H23" s="7">
        <f t="shared" si="4"/>
        <v>1500</v>
      </c>
      <c r="I23" s="15" t="s">
        <v>96</v>
      </c>
      <c r="J23" s="7"/>
      <c r="K23" s="7">
        <v>0</v>
      </c>
      <c r="L23" s="7">
        <v>150</v>
      </c>
      <c r="M23" s="7">
        <v>180</v>
      </c>
      <c r="N23" s="7">
        <v>216</v>
      </c>
      <c r="O23" s="7">
        <v>259</v>
      </c>
      <c r="P23" s="7" t="s">
        <v>118</v>
      </c>
      <c r="Q23" s="5" t="s">
        <v>89</v>
      </c>
    </row>
    <row r="24" spans="1:17" ht="45" x14ac:dyDescent="0.25">
      <c r="A24" s="43"/>
      <c r="B24" s="1" t="s">
        <v>101</v>
      </c>
      <c r="C24" s="7">
        <v>15000000</v>
      </c>
      <c r="D24" s="7">
        <f t="shared" si="0"/>
        <v>14100000</v>
      </c>
      <c r="E24" s="7">
        <f t="shared" si="1"/>
        <v>4500000</v>
      </c>
      <c r="F24" s="7">
        <f t="shared" si="2"/>
        <v>4230000</v>
      </c>
      <c r="G24" s="7">
        <f t="shared" si="3"/>
        <v>1500000</v>
      </c>
      <c r="H24" s="7">
        <f t="shared" si="4"/>
        <v>1500</v>
      </c>
      <c r="I24" s="15" t="s">
        <v>154</v>
      </c>
      <c r="J24" s="7"/>
      <c r="K24" s="7">
        <v>0</v>
      </c>
      <c r="L24" s="7">
        <v>150</v>
      </c>
      <c r="M24" s="7">
        <v>180</v>
      </c>
      <c r="N24" s="7">
        <v>216</v>
      </c>
      <c r="O24" s="7">
        <v>259</v>
      </c>
      <c r="P24" s="7" t="s">
        <v>118</v>
      </c>
      <c r="Q24" s="5" t="s">
        <v>89</v>
      </c>
    </row>
    <row r="25" spans="1:17" ht="45" x14ac:dyDescent="0.25">
      <c r="A25" s="43"/>
      <c r="B25" s="1" t="s">
        <v>90</v>
      </c>
      <c r="C25" s="7">
        <v>5000000</v>
      </c>
      <c r="D25" s="7">
        <f t="shared" si="0"/>
        <v>4700000</v>
      </c>
      <c r="E25" s="7">
        <f t="shared" si="1"/>
        <v>1500000</v>
      </c>
      <c r="F25" s="7">
        <f t="shared" si="2"/>
        <v>1410000</v>
      </c>
      <c r="G25" s="7">
        <f t="shared" si="3"/>
        <v>500000</v>
      </c>
      <c r="H25" s="7">
        <f t="shared" si="4"/>
        <v>500</v>
      </c>
      <c r="I25" s="15" t="s">
        <v>91</v>
      </c>
      <c r="J25" s="7"/>
      <c r="K25" s="7">
        <v>30</v>
      </c>
      <c r="L25" s="7">
        <v>36</v>
      </c>
      <c r="M25" s="7">
        <v>43.2</v>
      </c>
      <c r="N25" s="7">
        <v>52</v>
      </c>
      <c r="O25" s="7">
        <v>62</v>
      </c>
      <c r="P25" s="7" t="s">
        <v>118</v>
      </c>
      <c r="Q25" s="5" t="s">
        <v>89</v>
      </c>
    </row>
    <row r="26" spans="1:17" ht="30" x14ac:dyDescent="0.25">
      <c r="A26" s="43"/>
      <c r="B26" s="1" t="s">
        <v>93</v>
      </c>
      <c r="C26" s="7">
        <v>5000000</v>
      </c>
      <c r="D26" s="7">
        <f t="shared" si="0"/>
        <v>4700000</v>
      </c>
      <c r="E26" s="7">
        <f t="shared" si="1"/>
        <v>1500000</v>
      </c>
      <c r="F26" s="7">
        <f t="shared" si="2"/>
        <v>1410000</v>
      </c>
      <c r="G26" s="7">
        <f t="shared" si="3"/>
        <v>500000</v>
      </c>
      <c r="H26" s="7">
        <f t="shared" si="4"/>
        <v>500</v>
      </c>
      <c r="I26" s="15" t="s">
        <v>94</v>
      </c>
      <c r="J26" s="7"/>
      <c r="K26" s="7">
        <v>0</v>
      </c>
      <c r="L26" s="7">
        <v>30</v>
      </c>
      <c r="M26" s="7">
        <v>36</v>
      </c>
      <c r="N26" s="7">
        <v>43</v>
      </c>
      <c r="O26" s="7">
        <v>51</v>
      </c>
      <c r="P26" s="7" t="s">
        <v>118</v>
      </c>
      <c r="Q26" s="5" t="s">
        <v>89</v>
      </c>
    </row>
    <row r="27" spans="1:17" ht="30" x14ac:dyDescent="0.25">
      <c r="A27" s="43"/>
      <c r="B27" s="1" t="s">
        <v>95</v>
      </c>
      <c r="C27" s="7">
        <v>2500000</v>
      </c>
      <c r="D27" s="7">
        <f t="shared" si="0"/>
        <v>2350000</v>
      </c>
      <c r="E27" s="7">
        <f t="shared" si="1"/>
        <v>750000</v>
      </c>
      <c r="F27" s="7">
        <f t="shared" si="2"/>
        <v>705000</v>
      </c>
      <c r="G27" s="7">
        <f t="shared" si="3"/>
        <v>250000</v>
      </c>
      <c r="H27" s="7">
        <f t="shared" si="4"/>
        <v>250</v>
      </c>
      <c r="I27" s="15" t="s">
        <v>96</v>
      </c>
      <c r="J27" s="7"/>
      <c r="K27" s="7">
        <v>0</v>
      </c>
      <c r="L27" s="7">
        <v>75</v>
      </c>
      <c r="M27" s="7">
        <v>90</v>
      </c>
      <c r="N27" s="7">
        <v>108</v>
      </c>
      <c r="O27" s="7">
        <v>130</v>
      </c>
      <c r="P27" s="7" t="s">
        <v>118</v>
      </c>
      <c r="Q27" s="5" t="s">
        <v>89</v>
      </c>
    </row>
    <row r="28" spans="1:17" x14ac:dyDescent="0.25">
      <c r="A28" s="9" t="s">
        <v>48</v>
      </c>
      <c r="B28" s="9" t="s">
        <v>49</v>
      </c>
      <c r="C28" s="11">
        <f>SUM(C2:C27)</f>
        <v>1140500000</v>
      </c>
      <c r="D28" s="11">
        <f>SUM(D2:D27)</f>
        <v>1072070000</v>
      </c>
      <c r="E28" s="17">
        <f>SUM(E2:E27)</f>
        <v>342150000</v>
      </c>
      <c r="F28" s="17">
        <f t="shared" si="2"/>
        <v>321621000</v>
      </c>
      <c r="G28" s="17">
        <f t="shared" si="3"/>
        <v>114050000</v>
      </c>
      <c r="H28" s="17">
        <f>SUM(H2:H27)</f>
        <v>114050</v>
      </c>
      <c r="I28" s="17"/>
      <c r="J28" s="17"/>
      <c r="K28" s="11">
        <f>SUM(K2:K27)</f>
        <v>18471</v>
      </c>
      <c r="L28" s="11">
        <f>SUM(L2:L27)</f>
        <v>23799</v>
      </c>
      <c r="M28" s="11">
        <f>SUM(M2:M27)</f>
        <v>35316.699999999997</v>
      </c>
      <c r="N28" s="11">
        <f>SUM(N2:N27)</f>
        <v>51077.25</v>
      </c>
      <c r="O28" s="11">
        <f>SUM(O2:O27)</f>
        <v>77336.375</v>
      </c>
      <c r="P28" s="11"/>
      <c r="Q28" s="11"/>
    </row>
    <row r="29" spans="1:17" x14ac:dyDescent="0.25">
      <c r="B29" s="1" t="s">
        <v>50</v>
      </c>
      <c r="C29" s="18"/>
      <c r="D29" s="7"/>
      <c r="K29" s="18">
        <v>3</v>
      </c>
      <c r="L29" s="6">
        <f>SUM(K29*103%)</f>
        <v>3.09</v>
      </c>
      <c r="M29" s="6">
        <f>SUM(L29*103%)</f>
        <v>3.1827000000000001</v>
      </c>
      <c r="N29" s="6">
        <f>SUM(M29*103%)</f>
        <v>3.278181</v>
      </c>
      <c r="O29" s="6">
        <f>SUM(N29*103%)</f>
        <v>3.3765264300000002</v>
      </c>
      <c r="P29" s="6"/>
    </row>
    <row r="30" spans="1:17" x14ac:dyDescent="0.25">
      <c r="B30" s="1" t="s">
        <v>51</v>
      </c>
      <c r="C30" s="18"/>
      <c r="D30" s="7"/>
      <c r="K30" s="18">
        <v>1.44</v>
      </c>
      <c r="L30" s="6">
        <f>SUM(K30*103%)</f>
        <v>1.4832000000000001</v>
      </c>
      <c r="M30" s="6">
        <f>SUM(L30*103%)</f>
        <v>1.5276960000000002</v>
      </c>
      <c r="N30" s="6">
        <f t="shared" ref="N30:O30" si="5">SUM(M30*103%)</f>
        <v>1.5735268800000002</v>
      </c>
      <c r="O30" s="6">
        <f t="shared" si="5"/>
        <v>1.6207326864000002</v>
      </c>
      <c r="P30" s="6"/>
    </row>
    <row r="31" spans="1:17" x14ac:dyDescent="0.25">
      <c r="B31" s="1" t="s">
        <v>52</v>
      </c>
      <c r="C31" s="18"/>
      <c r="D31" s="7"/>
      <c r="K31" s="18">
        <v>0.57999999999999996</v>
      </c>
      <c r="L31" s="6">
        <f>SUM(K31*110%)</f>
        <v>0.63800000000000001</v>
      </c>
      <c r="M31" s="6">
        <f>SUM(L31*110%)</f>
        <v>0.70180000000000009</v>
      </c>
      <c r="N31" s="6">
        <f>SUM(M31*108%)</f>
        <v>0.75794400000000017</v>
      </c>
      <c r="O31" s="6">
        <f>SUM(N31*108%)</f>
        <v>0.81857952000000023</v>
      </c>
      <c r="P31" s="6"/>
    </row>
  </sheetData>
  <autoFilter ref="A1:Q27" xr:uid="{7DD6B52A-3CF0-4B31-8B2B-D3052EF049E2}"/>
  <sortState xmlns:xlrd2="http://schemas.microsoft.com/office/spreadsheetml/2017/richdata2" ref="B2:Q27">
    <sortCondition descending="1" ref="H2:H27"/>
  </sortState>
  <mergeCells count="1">
    <mergeCell ref="A2:A27"/>
  </mergeCells>
  <pageMargins left="0.7" right="0.7" top="0.78740157499999996" bottom="0.78740157499999996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235E-52C1-4FAD-AB30-A4309FD3214C}">
  <dimension ref="A1:Q44"/>
  <sheetViews>
    <sheetView zoomScale="90" zoomScaleNormal="90" workbookViewId="0">
      <pane ySplit="1" topLeftCell="A2" activePane="bottomLeft" state="frozen"/>
      <selection pane="bottomLeft" activeCell="D2" sqref="D2"/>
    </sheetView>
  </sheetViews>
  <sheetFormatPr defaultColWidth="11.42578125" defaultRowHeight="15" x14ac:dyDescent="0.25"/>
  <cols>
    <col min="1" max="1" width="17.5703125" style="5" customWidth="1"/>
    <col min="2" max="2" width="36" style="5" customWidth="1"/>
    <col min="3" max="7" width="14.5703125" style="6" customWidth="1"/>
    <col min="8" max="8" width="16" style="6" customWidth="1"/>
    <col min="9" max="9" width="16" style="5" customWidth="1"/>
    <col min="10" max="10" width="16" style="5" hidden="1" customWidth="1"/>
    <col min="11" max="11" width="23.85546875" style="5" bestFit="1" customWidth="1"/>
    <col min="12" max="15" width="11.42578125" style="5"/>
    <col min="16" max="16" width="20.28515625" style="5" customWidth="1"/>
    <col min="17" max="17" width="20.28515625" style="5" bestFit="1" customWidth="1"/>
    <col min="18" max="16384" width="11.42578125" style="5"/>
  </cols>
  <sheetData>
    <row r="1" spans="1:17" ht="45" x14ac:dyDescent="0.25">
      <c r="A1" s="2" t="s">
        <v>60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4">
        <v>2023</v>
      </c>
      <c r="K1" s="4" t="s">
        <v>165</v>
      </c>
      <c r="L1" s="4" t="s">
        <v>8</v>
      </c>
      <c r="M1" s="4" t="s">
        <v>9</v>
      </c>
      <c r="N1" s="4" t="s">
        <v>10</v>
      </c>
      <c r="O1" s="4" t="s">
        <v>11</v>
      </c>
      <c r="P1" s="2" t="s">
        <v>12</v>
      </c>
      <c r="Q1" s="2" t="s">
        <v>13</v>
      </c>
    </row>
    <row r="2" spans="1:17" x14ac:dyDescent="0.25">
      <c r="A2" s="44" t="s">
        <v>14</v>
      </c>
      <c r="B2" s="33" t="s">
        <v>32</v>
      </c>
      <c r="C2" s="34">
        <v>60000000</v>
      </c>
      <c r="D2" s="34">
        <f t="shared" ref="D2:D30" si="0">C2*0.94</f>
        <v>56400000</v>
      </c>
      <c r="E2" s="34">
        <f>C2*0.3</f>
        <v>18000000</v>
      </c>
      <c r="F2" s="34">
        <f t="shared" ref="F2:F30" si="1">E2*0.94</f>
        <v>16920000</v>
      </c>
      <c r="G2" s="34">
        <f t="shared" ref="G2:G30" si="2">F2/9.7</f>
        <v>1744329.8969072166</v>
      </c>
      <c r="H2" s="34">
        <f t="shared" ref="H2:H30" si="3">G2/1000</f>
        <v>1744.3298969072166</v>
      </c>
      <c r="I2" s="35" t="s">
        <v>16</v>
      </c>
      <c r="J2" s="36"/>
      <c r="K2" s="36">
        <v>30</v>
      </c>
      <c r="L2" s="36">
        <f>K2+170</f>
        <v>200</v>
      </c>
      <c r="M2" s="36">
        <v>290</v>
      </c>
      <c r="N2" s="36">
        <v>550</v>
      </c>
      <c r="O2" s="36">
        <v>1110</v>
      </c>
      <c r="P2" s="37" t="s">
        <v>33</v>
      </c>
      <c r="Q2" s="35" t="s">
        <v>20</v>
      </c>
    </row>
    <row r="3" spans="1:17" x14ac:dyDescent="0.25">
      <c r="A3" s="44"/>
      <c r="B3" s="28" t="s">
        <v>30</v>
      </c>
      <c r="C3" s="29">
        <v>20000000</v>
      </c>
      <c r="D3" s="29">
        <f t="shared" si="0"/>
        <v>18800000</v>
      </c>
      <c r="E3" s="29">
        <f>C3*0.5</f>
        <v>10000000</v>
      </c>
      <c r="F3" s="29">
        <f t="shared" si="1"/>
        <v>9400000</v>
      </c>
      <c r="G3" s="29">
        <f t="shared" si="2"/>
        <v>969072.16494845366</v>
      </c>
      <c r="H3" s="29">
        <f t="shared" si="3"/>
        <v>969.07216494845363</v>
      </c>
      <c r="I3" s="5" t="s">
        <v>16</v>
      </c>
      <c r="J3" s="7">
        <v>50</v>
      </c>
      <c r="K3" s="7">
        <v>45</v>
      </c>
      <c r="L3" s="7">
        <v>320</v>
      </c>
      <c r="M3" s="7">
        <v>390</v>
      </c>
      <c r="N3" s="7">
        <v>590</v>
      </c>
      <c r="O3" s="7">
        <f>H3</f>
        <v>969.07216494845363</v>
      </c>
      <c r="P3" s="6" t="s">
        <v>17</v>
      </c>
      <c r="Q3" s="5" t="s">
        <v>20</v>
      </c>
    </row>
    <row r="4" spans="1:17" x14ac:dyDescent="0.25">
      <c r="A4" s="44"/>
      <c r="B4" s="28" t="s">
        <v>27</v>
      </c>
      <c r="C4" s="29">
        <v>15000000</v>
      </c>
      <c r="D4" s="29">
        <f t="shared" si="0"/>
        <v>14100000</v>
      </c>
      <c r="E4" s="29">
        <f>C4*0.65</f>
        <v>9750000</v>
      </c>
      <c r="F4" s="29">
        <f t="shared" si="1"/>
        <v>9165000</v>
      </c>
      <c r="G4" s="29">
        <f t="shared" si="2"/>
        <v>944845.36082474235</v>
      </c>
      <c r="H4" s="29">
        <f t="shared" si="3"/>
        <v>944.84536082474233</v>
      </c>
      <c r="I4" s="5" t="s">
        <v>16</v>
      </c>
      <c r="J4" s="7">
        <v>10</v>
      </c>
      <c r="K4" s="7">
        <v>150</v>
      </c>
      <c r="L4" s="7">
        <v>410</v>
      </c>
      <c r="M4" s="7">
        <v>560</v>
      </c>
      <c r="N4" s="7">
        <v>750</v>
      </c>
      <c r="O4" s="7">
        <f>H4</f>
        <v>944.84536082474233</v>
      </c>
      <c r="P4" s="6" t="s">
        <v>17</v>
      </c>
      <c r="Q4" s="5" t="s">
        <v>28</v>
      </c>
    </row>
    <row r="5" spans="1:17" x14ac:dyDescent="0.25">
      <c r="A5" s="44"/>
      <c r="B5" s="28" t="s">
        <v>39</v>
      </c>
      <c r="C5" s="32">
        <v>18000000</v>
      </c>
      <c r="D5" s="29">
        <f t="shared" si="0"/>
        <v>16920000</v>
      </c>
      <c r="E5" s="29">
        <f>C5*0.5</f>
        <v>9000000</v>
      </c>
      <c r="F5" s="29">
        <f t="shared" si="1"/>
        <v>8460000</v>
      </c>
      <c r="G5" s="29">
        <f t="shared" si="2"/>
        <v>872164.94845360832</v>
      </c>
      <c r="H5" s="29">
        <f t="shared" si="3"/>
        <v>872.1649484536083</v>
      </c>
      <c r="I5" s="5" t="s">
        <v>16</v>
      </c>
      <c r="J5" s="7"/>
      <c r="K5" s="7"/>
      <c r="M5" s="7">
        <v>200</v>
      </c>
      <c r="N5" s="7">
        <v>430</v>
      </c>
      <c r="O5" s="7">
        <v>580</v>
      </c>
      <c r="P5" s="6" t="s">
        <v>17</v>
      </c>
      <c r="Q5" s="5" t="s">
        <v>20</v>
      </c>
    </row>
    <row r="6" spans="1:17" x14ac:dyDescent="0.25">
      <c r="A6" s="44"/>
      <c r="B6" s="28" t="s">
        <v>23</v>
      </c>
      <c r="C6" s="29">
        <v>7000000</v>
      </c>
      <c r="D6" s="29">
        <f t="shared" si="0"/>
        <v>6580000</v>
      </c>
      <c r="E6" s="29">
        <f>C6*1</f>
        <v>7000000</v>
      </c>
      <c r="F6" s="29">
        <f t="shared" si="1"/>
        <v>6580000</v>
      </c>
      <c r="G6" s="29">
        <f t="shared" si="2"/>
        <v>678350.51546391763</v>
      </c>
      <c r="H6" s="29">
        <f t="shared" si="3"/>
        <v>678.35051546391765</v>
      </c>
      <c r="I6" s="5" t="s">
        <v>24</v>
      </c>
      <c r="J6" s="7">
        <v>230</v>
      </c>
      <c r="K6" s="7">
        <v>256</v>
      </c>
      <c r="L6" s="7">
        <f>K6+15</f>
        <v>271</v>
      </c>
      <c r="M6" s="7">
        <v>380</v>
      </c>
      <c r="N6" s="7">
        <v>430</v>
      </c>
      <c r="O6" s="7">
        <v>520</v>
      </c>
      <c r="P6" s="5" t="s">
        <v>25</v>
      </c>
      <c r="Q6" s="5" t="s">
        <v>26</v>
      </c>
    </row>
    <row r="7" spans="1:17" x14ac:dyDescent="0.25">
      <c r="A7" s="44"/>
      <c r="B7" s="28" t="s">
        <v>168</v>
      </c>
      <c r="C7" s="32">
        <v>66000000</v>
      </c>
      <c r="D7" s="29">
        <f t="shared" si="0"/>
        <v>62040000</v>
      </c>
      <c r="E7" s="29">
        <f>C7*0.1</f>
        <v>6600000</v>
      </c>
      <c r="F7" s="29">
        <f t="shared" si="1"/>
        <v>6204000</v>
      </c>
      <c r="G7" s="29">
        <f t="shared" si="2"/>
        <v>639587.62886597938</v>
      </c>
      <c r="H7" s="29">
        <f t="shared" si="3"/>
        <v>639.58762886597935</v>
      </c>
      <c r="I7" s="5" t="s">
        <v>16</v>
      </c>
      <c r="J7" s="7"/>
      <c r="K7" s="7"/>
      <c r="L7" s="5">
        <v>125</v>
      </c>
      <c r="M7" s="7">
        <v>180</v>
      </c>
      <c r="N7" s="7">
        <v>320</v>
      </c>
      <c r="O7" s="7">
        <v>480</v>
      </c>
      <c r="P7" s="6" t="s">
        <v>17</v>
      </c>
      <c r="Q7" s="5" t="s">
        <v>20</v>
      </c>
    </row>
    <row r="8" spans="1:17" x14ac:dyDescent="0.25">
      <c r="A8" s="44"/>
      <c r="B8" s="28" t="s">
        <v>41</v>
      </c>
      <c r="C8" s="32">
        <v>66000000</v>
      </c>
      <c r="D8" s="29">
        <f t="shared" si="0"/>
        <v>62040000</v>
      </c>
      <c r="E8" s="29">
        <f>C8*0.1</f>
        <v>6600000</v>
      </c>
      <c r="F8" s="29">
        <f t="shared" si="1"/>
        <v>6204000</v>
      </c>
      <c r="G8" s="29">
        <f t="shared" si="2"/>
        <v>639587.62886597938</v>
      </c>
      <c r="H8" s="29">
        <f t="shared" si="3"/>
        <v>639.58762886597935</v>
      </c>
      <c r="I8" s="5" t="s">
        <v>16</v>
      </c>
      <c r="J8" s="7"/>
      <c r="K8" s="7"/>
      <c r="M8" s="7">
        <v>150</v>
      </c>
      <c r="N8" s="7">
        <v>263</v>
      </c>
      <c r="O8" s="7">
        <v>450</v>
      </c>
      <c r="P8" s="6" t="s">
        <v>17</v>
      </c>
      <c r="Q8" s="5" t="s">
        <v>20</v>
      </c>
    </row>
    <row r="9" spans="1:17" x14ac:dyDescent="0.25">
      <c r="A9" s="44"/>
      <c r="B9" s="28" t="s">
        <v>45</v>
      </c>
      <c r="C9" s="32">
        <v>10000000</v>
      </c>
      <c r="D9" s="29">
        <f t="shared" si="0"/>
        <v>9400000</v>
      </c>
      <c r="E9" s="29">
        <f>C9*0.65</f>
        <v>6500000</v>
      </c>
      <c r="F9" s="29">
        <f t="shared" si="1"/>
        <v>6110000</v>
      </c>
      <c r="G9" s="29">
        <f t="shared" si="2"/>
        <v>629896.9072164949</v>
      </c>
      <c r="H9" s="29">
        <f t="shared" si="3"/>
        <v>629.89690721649492</v>
      </c>
      <c r="I9" s="5" t="s">
        <v>16</v>
      </c>
      <c r="J9" s="7"/>
      <c r="K9" s="7"/>
      <c r="L9" s="5">
        <v>80</v>
      </c>
      <c r="M9" s="7">
        <v>120</v>
      </c>
      <c r="N9" s="7">
        <v>210</v>
      </c>
      <c r="O9" s="7">
        <v>460</v>
      </c>
      <c r="P9" s="6" t="s">
        <v>17</v>
      </c>
      <c r="Q9" s="5" t="s">
        <v>20</v>
      </c>
    </row>
    <row r="10" spans="1:17" x14ac:dyDescent="0.25">
      <c r="A10" s="44"/>
      <c r="B10" s="28" t="s">
        <v>15</v>
      </c>
      <c r="C10" s="29">
        <v>25200000</v>
      </c>
      <c r="D10" s="29">
        <v>23688000</v>
      </c>
      <c r="E10" s="29">
        <v>6300000</v>
      </c>
      <c r="F10" s="29">
        <v>5922000</v>
      </c>
      <c r="G10" s="29">
        <v>610515.46391752583</v>
      </c>
      <c r="H10" s="29">
        <v>610.51546391752584</v>
      </c>
      <c r="I10" s="5" t="s">
        <v>16</v>
      </c>
      <c r="J10" s="7">
        <f>7+52</f>
        <v>59</v>
      </c>
      <c r="K10" s="7">
        <v>107</v>
      </c>
      <c r="L10" s="7">
        <v>230</v>
      </c>
      <c r="M10" s="7">
        <f>L10+150</f>
        <v>380</v>
      </c>
      <c r="N10" s="7">
        <v>427</v>
      </c>
      <c r="O10" s="7">
        <f>H10</f>
        <v>610.51546391752584</v>
      </c>
      <c r="P10" s="6" t="s">
        <v>17</v>
      </c>
      <c r="Q10" s="5" t="s">
        <v>18</v>
      </c>
    </row>
    <row r="11" spans="1:17" x14ac:dyDescent="0.25">
      <c r="A11" s="44"/>
      <c r="B11" s="28" t="s">
        <v>170</v>
      </c>
      <c r="C11" s="32">
        <v>20000000</v>
      </c>
      <c r="D11" s="29">
        <f t="shared" si="0"/>
        <v>18800000</v>
      </c>
      <c r="E11" s="29">
        <f>C11*0.3</f>
        <v>6000000</v>
      </c>
      <c r="F11" s="29">
        <f t="shared" si="1"/>
        <v>5640000</v>
      </c>
      <c r="G11" s="29">
        <f t="shared" si="2"/>
        <v>581443.29896907217</v>
      </c>
      <c r="H11" s="29">
        <f t="shared" si="3"/>
        <v>581.4432989690722</v>
      </c>
      <c r="I11" s="5" t="s">
        <v>16</v>
      </c>
      <c r="J11" s="7"/>
      <c r="K11" s="7"/>
      <c r="L11" s="5">
        <v>108</v>
      </c>
      <c r="M11" s="7">
        <v>200</v>
      </c>
      <c r="N11" s="7">
        <f>M11+200</f>
        <v>400</v>
      </c>
      <c r="O11" s="7">
        <v>450</v>
      </c>
      <c r="P11" s="6" t="s">
        <v>17</v>
      </c>
      <c r="Q11" s="5" t="s">
        <v>20</v>
      </c>
    </row>
    <row r="12" spans="1:17" x14ac:dyDescent="0.25">
      <c r="A12" s="44"/>
      <c r="B12" s="28" t="s">
        <v>40</v>
      </c>
      <c r="C12" s="32">
        <v>20000000</v>
      </c>
      <c r="D12" s="29">
        <f t="shared" si="0"/>
        <v>18800000</v>
      </c>
      <c r="E12" s="29">
        <f>C12*0.3</f>
        <v>6000000</v>
      </c>
      <c r="F12" s="29">
        <f t="shared" si="1"/>
        <v>5640000</v>
      </c>
      <c r="G12" s="29">
        <f t="shared" si="2"/>
        <v>581443.29896907217</v>
      </c>
      <c r="H12" s="29">
        <f t="shared" si="3"/>
        <v>581.4432989690722</v>
      </c>
      <c r="I12" s="5" t="s">
        <v>16</v>
      </c>
      <c r="J12" s="7"/>
      <c r="K12" s="7"/>
      <c r="L12" s="5">
        <v>88</v>
      </c>
      <c r="M12" s="7">
        <v>167</v>
      </c>
      <c r="N12" s="7">
        <v>326</v>
      </c>
      <c r="O12" s="7">
        <v>450</v>
      </c>
      <c r="P12" s="6" t="s">
        <v>17</v>
      </c>
      <c r="Q12" s="5" t="s">
        <v>20</v>
      </c>
    </row>
    <row r="13" spans="1:17" x14ac:dyDescent="0.25">
      <c r="A13" s="44"/>
      <c r="B13" s="28" t="s">
        <v>42</v>
      </c>
      <c r="C13" s="32">
        <v>20000000</v>
      </c>
      <c r="D13" s="29">
        <f t="shared" si="0"/>
        <v>18800000</v>
      </c>
      <c r="E13" s="29">
        <f>C13*0.3</f>
        <v>6000000</v>
      </c>
      <c r="F13" s="29">
        <f t="shared" si="1"/>
        <v>5640000</v>
      </c>
      <c r="G13" s="29">
        <f t="shared" si="2"/>
        <v>581443.29896907217</v>
      </c>
      <c r="H13" s="29">
        <f t="shared" si="3"/>
        <v>581.4432989690722</v>
      </c>
      <c r="I13" s="5" t="s">
        <v>16</v>
      </c>
      <c r="J13" s="7"/>
      <c r="K13" s="7"/>
      <c r="L13" s="5">
        <v>70</v>
      </c>
      <c r="M13" s="7">
        <v>100</v>
      </c>
      <c r="N13" s="7">
        <v>280</v>
      </c>
      <c r="O13" s="7">
        <v>420</v>
      </c>
      <c r="P13" s="6" t="s">
        <v>17</v>
      </c>
      <c r="Q13" s="5" t="s">
        <v>20</v>
      </c>
    </row>
    <row r="14" spans="1:17" x14ac:dyDescent="0.25">
      <c r="A14" s="44"/>
      <c r="B14" s="33" t="s">
        <v>35</v>
      </c>
      <c r="C14" s="38">
        <v>5000000</v>
      </c>
      <c r="D14" s="34">
        <f t="shared" si="0"/>
        <v>4700000</v>
      </c>
      <c r="E14" s="34">
        <f>C14*1</f>
        <v>5000000</v>
      </c>
      <c r="F14" s="34">
        <f t="shared" si="1"/>
        <v>4700000</v>
      </c>
      <c r="G14" s="34">
        <f t="shared" si="2"/>
        <v>484536.08247422683</v>
      </c>
      <c r="H14" s="34">
        <f t="shared" si="3"/>
        <v>484.53608247422682</v>
      </c>
      <c r="I14" s="35" t="s">
        <v>16</v>
      </c>
      <c r="J14" s="36"/>
      <c r="K14" s="36">
        <v>60</v>
      </c>
      <c r="L14" s="35">
        <v>100</v>
      </c>
      <c r="M14" s="36">
        <v>125</v>
      </c>
      <c r="N14" s="36">
        <v>210</v>
      </c>
      <c r="O14" s="36">
        <v>360</v>
      </c>
      <c r="P14" s="37" t="s">
        <v>17</v>
      </c>
      <c r="Q14" s="35" t="s">
        <v>20</v>
      </c>
    </row>
    <row r="15" spans="1:17" x14ac:dyDescent="0.25">
      <c r="A15" s="44"/>
      <c r="B15" s="33" t="s">
        <v>169</v>
      </c>
      <c r="C15" s="34">
        <v>10800000</v>
      </c>
      <c r="D15" s="34">
        <f t="shared" si="0"/>
        <v>10152000</v>
      </c>
      <c r="E15" s="34">
        <f>C15*0.3</f>
        <v>3240000</v>
      </c>
      <c r="F15" s="34">
        <f t="shared" si="1"/>
        <v>3045600</v>
      </c>
      <c r="G15" s="34">
        <f t="shared" si="2"/>
        <v>313979.381443299</v>
      </c>
      <c r="H15" s="34">
        <f t="shared" si="3"/>
        <v>313.97938144329902</v>
      </c>
      <c r="I15" s="35" t="s">
        <v>16</v>
      </c>
      <c r="J15" s="36"/>
      <c r="K15" s="36"/>
      <c r="L15" s="35">
        <v>110</v>
      </c>
      <c r="M15" s="36">
        <v>130</v>
      </c>
      <c r="N15" s="36">
        <v>170</v>
      </c>
      <c r="O15" s="36">
        <v>293</v>
      </c>
      <c r="P15" s="37" t="s">
        <v>17</v>
      </c>
      <c r="Q15" s="35" t="s">
        <v>20</v>
      </c>
    </row>
    <row r="16" spans="1:17" x14ac:dyDescent="0.25">
      <c r="A16" s="44"/>
      <c r="B16" s="28" t="s">
        <v>29</v>
      </c>
      <c r="C16" s="29">
        <v>3000000</v>
      </c>
      <c r="D16" s="29">
        <f t="shared" si="0"/>
        <v>2820000</v>
      </c>
      <c r="E16" s="29">
        <f>C16*1</f>
        <v>3000000</v>
      </c>
      <c r="F16" s="29">
        <f t="shared" si="1"/>
        <v>2820000</v>
      </c>
      <c r="G16" s="29">
        <f t="shared" si="2"/>
        <v>290721.64948453609</v>
      </c>
      <c r="H16" s="29">
        <f t="shared" si="3"/>
        <v>290.7216494845361</v>
      </c>
      <c r="I16" s="5" t="s">
        <v>16</v>
      </c>
      <c r="J16" s="7">
        <v>50</v>
      </c>
      <c r="K16" s="7">
        <f>45+20</f>
        <v>65</v>
      </c>
      <c r="L16" s="7">
        <f>K16+5</f>
        <v>70</v>
      </c>
      <c r="M16" s="7">
        <v>65</v>
      </c>
      <c r="N16" s="7">
        <f>M16+30</f>
        <v>95</v>
      </c>
      <c r="O16" s="7">
        <f>H16</f>
        <v>290.7216494845361</v>
      </c>
      <c r="P16" s="6" t="s">
        <v>17</v>
      </c>
      <c r="Q16" s="5" t="s">
        <v>20</v>
      </c>
    </row>
    <row r="17" spans="1:17" x14ac:dyDescent="0.25">
      <c r="A17" s="44"/>
      <c r="B17" s="33" t="s">
        <v>171</v>
      </c>
      <c r="C17" s="34">
        <v>10000000</v>
      </c>
      <c r="D17" s="34">
        <f t="shared" si="0"/>
        <v>9400000</v>
      </c>
      <c r="E17" s="34">
        <f>C17*0.3</f>
        <v>3000000</v>
      </c>
      <c r="F17" s="34">
        <f t="shared" si="1"/>
        <v>2820000</v>
      </c>
      <c r="G17" s="34">
        <f t="shared" si="2"/>
        <v>290721.64948453609</v>
      </c>
      <c r="H17" s="34">
        <f t="shared" si="3"/>
        <v>290.7216494845361</v>
      </c>
      <c r="I17" s="35" t="s">
        <v>16</v>
      </c>
      <c r="J17" s="36"/>
      <c r="K17" s="36">
        <v>35</v>
      </c>
      <c r="L17" s="36">
        <v>130</v>
      </c>
      <c r="M17" s="36">
        <v>150</v>
      </c>
      <c r="N17" s="36">
        <v>180</v>
      </c>
      <c r="O17" s="36">
        <f>H17</f>
        <v>290.7216494845361</v>
      </c>
      <c r="P17" s="37" t="s">
        <v>17</v>
      </c>
      <c r="Q17" s="35" t="s">
        <v>20</v>
      </c>
    </row>
    <row r="18" spans="1:17" x14ac:dyDescent="0.25">
      <c r="A18" s="44"/>
      <c r="B18" s="28" t="s">
        <v>47</v>
      </c>
      <c r="C18" s="32">
        <v>3000000</v>
      </c>
      <c r="D18" s="29">
        <f t="shared" si="0"/>
        <v>2820000</v>
      </c>
      <c r="E18" s="29">
        <f>C18*1</f>
        <v>3000000</v>
      </c>
      <c r="F18" s="29">
        <f t="shared" si="1"/>
        <v>2820000</v>
      </c>
      <c r="G18" s="29">
        <f t="shared" si="2"/>
        <v>290721.64948453609</v>
      </c>
      <c r="H18" s="29">
        <f t="shared" si="3"/>
        <v>290.7216494845361</v>
      </c>
      <c r="I18" s="5" t="s">
        <v>16</v>
      </c>
      <c r="L18" s="5">
        <v>70</v>
      </c>
      <c r="M18" s="7">
        <v>80</v>
      </c>
      <c r="N18" s="7">
        <v>100</v>
      </c>
      <c r="O18" s="7">
        <v>200</v>
      </c>
      <c r="P18" s="6" t="s">
        <v>17</v>
      </c>
      <c r="Q18" s="5" t="s">
        <v>20</v>
      </c>
    </row>
    <row r="19" spans="1:17" x14ac:dyDescent="0.25">
      <c r="A19" s="44"/>
      <c r="B19" s="33" t="s">
        <v>34</v>
      </c>
      <c r="C19" s="34">
        <v>5000000</v>
      </c>
      <c r="D19" s="34">
        <f t="shared" si="0"/>
        <v>4700000</v>
      </c>
      <c r="E19" s="34">
        <f>C19*0.4</f>
        <v>2000000</v>
      </c>
      <c r="F19" s="34">
        <f t="shared" si="1"/>
        <v>1880000</v>
      </c>
      <c r="G19" s="34">
        <f t="shared" si="2"/>
        <v>193814.43298969074</v>
      </c>
      <c r="H19" s="34">
        <f t="shared" si="3"/>
        <v>193.81443298969074</v>
      </c>
      <c r="I19" s="35" t="s">
        <v>16</v>
      </c>
      <c r="J19" s="36"/>
      <c r="K19" s="36">
        <v>80</v>
      </c>
      <c r="L19" s="36">
        <v>110</v>
      </c>
      <c r="M19" s="36">
        <v>120</v>
      </c>
      <c r="N19" s="36">
        <v>150</v>
      </c>
      <c r="O19" s="36">
        <f>H19</f>
        <v>193.81443298969074</v>
      </c>
      <c r="P19" s="37" t="s">
        <v>33</v>
      </c>
      <c r="Q19" s="35" t="s">
        <v>20</v>
      </c>
    </row>
    <row r="20" spans="1:17" x14ac:dyDescent="0.25">
      <c r="A20" s="44"/>
      <c r="B20" s="33" t="s">
        <v>37</v>
      </c>
      <c r="C20" s="38">
        <v>2000000</v>
      </c>
      <c r="D20" s="34">
        <f t="shared" si="0"/>
        <v>1880000</v>
      </c>
      <c r="E20" s="34">
        <f>C20*1</f>
        <v>2000000</v>
      </c>
      <c r="F20" s="34">
        <f t="shared" si="1"/>
        <v>1880000</v>
      </c>
      <c r="G20" s="34">
        <f t="shared" si="2"/>
        <v>193814.43298969074</v>
      </c>
      <c r="H20" s="34">
        <f t="shared" si="3"/>
        <v>193.81443298969074</v>
      </c>
      <c r="I20" s="35" t="s">
        <v>16</v>
      </c>
      <c r="J20" s="36"/>
      <c r="K20" s="36">
        <v>20</v>
      </c>
      <c r="L20" s="36">
        <v>80</v>
      </c>
      <c r="M20" s="36">
        <v>102</v>
      </c>
      <c r="N20" s="36">
        <f>M20+83</f>
        <v>185</v>
      </c>
      <c r="O20" s="36">
        <f>H20</f>
        <v>193.81443298969074</v>
      </c>
      <c r="P20" s="37" t="s">
        <v>17</v>
      </c>
      <c r="Q20" s="35" t="s">
        <v>20</v>
      </c>
    </row>
    <row r="21" spans="1:17" x14ac:dyDescent="0.25">
      <c r="A21" s="44"/>
      <c r="B21" s="28" t="s">
        <v>38</v>
      </c>
      <c r="C21" s="32">
        <v>66000000</v>
      </c>
      <c r="D21" s="29">
        <f t="shared" si="0"/>
        <v>62040000</v>
      </c>
      <c r="E21" s="29">
        <f>C21*0.03</f>
        <v>1980000</v>
      </c>
      <c r="F21" s="29">
        <f t="shared" si="1"/>
        <v>1861200</v>
      </c>
      <c r="G21" s="29">
        <f t="shared" si="2"/>
        <v>191876.28865979382</v>
      </c>
      <c r="H21" s="29">
        <f t="shared" si="3"/>
        <v>191.87628865979383</v>
      </c>
      <c r="I21" s="5" t="s">
        <v>16</v>
      </c>
      <c r="J21" s="7"/>
      <c r="K21" s="7">
        <v>17</v>
      </c>
      <c r="L21" s="5">
        <v>90</v>
      </c>
      <c r="M21" s="7">
        <f>L21+30</f>
        <v>120</v>
      </c>
      <c r="N21" s="7">
        <f>M21+30</f>
        <v>150</v>
      </c>
      <c r="O21" s="7">
        <f>H21</f>
        <v>191.87628865979383</v>
      </c>
      <c r="P21" s="6" t="s">
        <v>17</v>
      </c>
      <c r="Q21" s="5" t="s">
        <v>20</v>
      </c>
    </row>
    <row r="22" spans="1:17" x14ac:dyDescent="0.25">
      <c r="A22" s="44"/>
      <c r="B22" s="28" t="s">
        <v>19</v>
      </c>
      <c r="C22" s="29">
        <v>7000000</v>
      </c>
      <c r="D22" s="29">
        <f t="shared" si="0"/>
        <v>6580000</v>
      </c>
      <c r="E22" s="29">
        <f>C22*0.25</f>
        <v>1750000</v>
      </c>
      <c r="F22" s="29">
        <f t="shared" si="1"/>
        <v>1645000</v>
      </c>
      <c r="G22" s="29">
        <f t="shared" si="2"/>
        <v>169587.62886597941</v>
      </c>
      <c r="H22" s="29">
        <f t="shared" si="3"/>
        <v>169.58762886597941</v>
      </c>
      <c r="I22" s="5" t="s">
        <v>16</v>
      </c>
      <c r="J22" s="7">
        <v>110</v>
      </c>
      <c r="K22" s="7">
        <v>115</v>
      </c>
      <c r="L22" s="7">
        <f>K22+15</f>
        <v>130</v>
      </c>
      <c r="M22" s="7">
        <f>L22+15</f>
        <v>145</v>
      </c>
      <c r="N22" s="7">
        <f>M22+15</f>
        <v>160</v>
      </c>
      <c r="O22" s="7">
        <f>H22</f>
        <v>169.58762886597941</v>
      </c>
      <c r="P22" s="6" t="s">
        <v>17</v>
      </c>
      <c r="Q22" s="5" t="s">
        <v>20</v>
      </c>
    </row>
    <row r="23" spans="1:17" x14ac:dyDescent="0.25">
      <c r="A23" s="44"/>
      <c r="B23" s="28" t="s">
        <v>43</v>
      </c>
      <c r="C23" s="32">
        <v>1500000</v>
      </c>
      <c r="D23" s="29">
        <f t="shared" si="0"/>
        <v>1410000</v>
      </c>
      <c r="E23" s="29">
        <f>C23*1</f>
        <v>1500000</v>
      </c>
      <c r="F23" s="29">
        <f t="shared" si="1"/>
        <v>1410000</v>
      </c>
      <c r="G23" s="29">
        <f t="shared" si="2"/>
        <v>145360.82474226804</v>
      </c>
      <c r="H23" s="29">
        <f t="shared" si="3"/>
        <v>145.36082474226805</v>
      </c>
      <c r="I23" s="5" t="s">
        <v>16</v>
      </c>
      <c r="J23" s="7"/>
      <c r="K23" s="7">
        <v>10</v>
      </c>
      <c r="L23" s="7">
        <f>K23+40</f>
        <v>50</v>
      </c>
      <c r="M23" s="7">
        <f>L23+40</f>
        <v>90</v>
      </c>
      <c r="N23" s="7">
        <v>60</v>
      </c>
      <c r="O23" s="7">
        <v>100</v>
      </c>
      <c r="P23" s="6" t="s">
        <v>17</v>
      </c>
      <c r="Q23" s="5" t="s">
        <v>20</v>
      </c>
    </row>
    <row r="24" spans="1:17" x14ac:dyDescent="0.25">
      <c r="A24" s="44"/>
      <c r="B24" s="28" t="s">
        <v>44</v>
      </c>
      <c r="C24" s="32">
        <v>5000000</v>
      </c>
      <c r="D24" s="29">
        <f t="shared" si="0"/>
        <v>4700000</v>
      </c>
      <c r="E24" s="29">
        <f>C24*0.3</f>
        <v>1500000</v>
      </c>
      <c r="F24" s="29">
        <f t="shared" si="1"/>
        <v>1410000</v>
      </c>
      <c r="G24" s="29">
        <f t="shared" si="2"/>
        <v>145360.82474226804</v>
      </c>
      <c r="H24" s="29">
        <f t="shared" si="3"/>
        <v>145.36082474226805</v>
      </c>
      <c r="I24" s="5" t="s">
        <v>16</v>
      </c>
      <c r="J24" s="7"/>
      <c r="K24" s="7"/>
      <c r="M24" s="7">
        <v>50</v>
      </c>
      <c r="N24" s="7">
        <v>60</v>
      </c>
      <c r="O24" s="7">
        <v>100</v>
      </c>
      <c r="P24" s="6" t="s">
        <v>17</v>
      </c>
      <c r="Q24" s="5" t="s">
        <v>20</v>
      </c>
    </row>
    <row r="25" spans="1:17" x14ac:dyDescent="0.25">
      <c r="A25" s="44"/>
      <c r="B25" s="33" t="s">
        <v>31</v>
      </c>
      <c r="C25" s="34">
        <v>1000000</v>
      </c>
      <c r="D25" s="34">
        <f t="shared" si="0"/>
        <v>940000</v>
      </c>
      <c r="E25" s="34">
        <f>C25*1</f>
        <v>1000000</v>
      </c>
      <c r="F25" s="34">
        <f t="shared" si="1"/>
        <v>940000</v>
      </c>
      <c r="G25" s="34">
        <f t="shared" si="2"/>
        <v>96907.216494845372</v>
      </c>
      <c r="H25" s="34">
        <f t="shared" si="3"/>
        <v>96.907216494845372</v>
      </c>
      <c r="I25" s="35" t="s">
        <v>16</v>
      </c>
      <c r="J25" s="36">
        <v>0</v>
      </c>
      <c r="K25" s="36">
        <v>30</v>
      </c>
      <c r="L25" s="36">
        <f>K25+15</f>
        <v>45</v>
      </c>
      <c r="M25" s="36">
        <f>L25+15</f>
        <v>60</v>
      </c>
      <c r="N25" s="36">
        <f>M25+15</f>
        <v>75</v>
      </c>
      <c r="O25" s="36">
        <f>H25</f>
        <v>96.907216494845372</v>
      </c>
      <c r="P25" s="37" t="s">
        <v>17</v>
      </c>
      <c r="Q25" s="35" t="s">
        <v>20</v>
      </c>
    </row>
    <row r="26" spans="1:17" x14ac:dyDescent="0.25">
      <c r="A26" s="44"/>
      <c r="B26" s="28" t="s">
        <v>167</v>
      </c>
      <c r="C26" s="32">
        <v>500000</v>
      </c>
      <c r="D26" s="29">
        <f t="shared" si="0"/>
        <v>470000</v>
      </c>
      <c r="E26" s="29">
        <f>C26*1</f>
        <v>500000</v>
      </c>
      <c r="F26" s="29">
        <f t="shared" si="1"/>
        <v>470000</v>
      </c>
      <c r="G26" s="29">
        <f t="shared" si="2"/>
        <v>48453.608247422686</v>
      </c>
      <c r="H26" s="29">
        <f t="shared" si="3"/>
        <v>48.453608247422686</v>
      </c>
      <c r="I26" s="5" t="s">
        <v>16</v>
      </c>
      <c r="K26" s="5">
        <v>10</v>
      </c>
      <c r="L26" s="5">
        <f>K26+10</f>
        <v>20</v>
      </c>
      <c r="M26" s="5">
        <f>L26+10</f>
        <v>30</v>
      </c>
      <c r="N26" s="5">
        <f>M26+10</f>
        <v>40</v>
      </c>
      <c r="O26" s="7">
        <f>H26</f>
        <v>48.453608247422686</v>
      </c>
      <c r="P26" s="6" t="s">
        <v>17</v>
      </c>
      <c r="Q26" s="5" t="s">
        <v>20</v>
      </c>
    </row>
    <row r="27" spans="1:17" x14ac:dyDescent="0.25">
      <c r="A27" s="44"/>
      <c r="B27" s="33" t="s">
        <v>36</v>
      </c>
      <c r="C27" s="38">
        <v>250000</v>
      </c>
      <c r="D27" s="34">
        <f t="shared" si="0"/>
        <v>235000</v>
      </c>
      <c r="E27" s="34">
        <f>C27*1</f>
        <v>250000</v>
      </c>
      <c r="F27" s="34">
        <f t="shared" si="1"/>
        <v>235000</v>
      </c>
      <c r="G27" s="34">
        <f t="shared" si="2"/>
        <v>24226.804123711343</v>
      </c>
      <c r="H27" s="34">
        <f t="shared" si="3"/>
        <v>24.226804123711343</v>
      </c>
      <c r="I27" s="35" t="s">
        <v>16</v>
      </c>
      <c r="J27" s="36"/>
      <c r="K27" s="36">
        <v>40</v>
      </c>
      <c r="L27" s="35">
        <v>50</v>
      </c>
      <c r="M27" s="36">
        <f>L27+20</f>
        <v>70</v>
      </c>
      <c r="N27" s="36">
        <f>M27+20</f>
        <v>90</v>
      </c>
      <c r="O27" s="36">
        <v>100</v>
      </c>
      <c r="P27" s="37" t="s">
        <v>17</v>
      </c>
      <c r="Q27" s="35" t="s">
        <v>20</v>
      </c>
    </row>
    <row r="28" spans="1:17" x14ac:dyDescent="0.25">
      <c r="A28" s="44"/>
      <c r="B28" s="28" t="s">
        <v>46</v>
      </c>
      <c r="C28" s="32">
        <v>200000</v>
      </c>
      <c r="D28" s="29">
        <f t="shared" si="0"/>
        <v>188000</v>
      </c>
      <c r="E28" s="29">
        <f>C28*1</f>
        <v>200000</v>
      </c>
      <c r="F28" s="29">
        <f t="shared" si="1"/>
        <v>188000</v>
      </c>
      <c r="G28" s="29">
        <f t="shared" si="2"/>
        <v>19381.443298969072</v>
      </c>
      <c r="H28" s="29">
        <f t="shared" si="3"/>
        <v>19.381443298969071</v>
      </c>
      <c r="I28" s="5" t="s">
        <v>16</v>
      </c>
      <c r="J28" s="7"/>
      <c r="K28" s="7">
        <v>8</v>
      </c>
      <c r="L28" s="7">
        <f>K28+3</f>
        <v>11</v>
      </c>
      <c r="M28" s="7">
        <f>L28+3</f>
        <v>14</v>
      </c>
      <c r="N28" s="7">
        <f>M28+3</f>
        <v>17</v>
      </c>
      <c r="O28" s="7">
        <f>H28</f>
        <v>19.381443298969071</v>
      </c>
      <c r="P28" s="6" t="s">
        <v>17</v>
      </c>
      <c r="Q28" s="5" t="s">
        <v>20</v>
      </c>
    </row>
    <row r="29" spans="1:17" x14ac:dyDescent="0.25">
      <c r="A29" s="44"/>
      <c r="B29" s="28" t="s">
        <v>21</v>
      </c>
      <c r="C29" s="29">
        <v>450000</v>
      </c>
      <c r="D29" s="29">
        <f t="shared" si="0"/>
        <v>423000</v>
      </c>
      <c r="E29" s="29">
        <f>C29*0.25</f>
        <v>112500</v>
      </c>
      <c r="F29" s="29">
        <f t="shared" si="1"/>
        <v>105750</v>
      </c>
      <c r="G29" s="29">
        <f t="shared" si="2"/>
        <v>10902.061855670105</v>
      </c>
      <c r="H29" s="29">
        <f t="shared" si="3"/>
        <v>10.902061855670105</v>
      </c>
      <c r="I29" s="5" t="s">
        <v>16</v>
      </c>
      <c r="J29" s="7">
        <v>10</v>
      </c>
      <c r="K29" s="7">
        <v>16</v>
      </c>
      <c r="L29" s="7">
        <v>16</v>
      </c>
      <c r="M29" s="7">
        <v>16</v>
      </c>
      <c r="N29" s="7">
        <v>16</v>
      </c>
      <c r="O29" s="7">
        <v>16</v>
      </c>
      <c r="P29" s="6" t="s">
        <v>17</v>
      </c>
      <c r="Q29" s="5" t="s">
        <v>20</v>
      </c>
    </row>
    <row r="30" spans="1:17" x14ac:dyDescent="0.25">
      <c r="A30" s="44"/>
      <c r="B30" s="30" t="s">
        <v>22</v>
      </c>
      <c r="C30" s="31">
        <v>450000</v>
      </c>
      <c r="D30" s="29">
        <f t="shared" si="0"/>
        <v>423000</v>
      </c>
      <c r="E30" s="29">
        <f>C30*0.25</f>
        <v>112500</v>
      </c>
      <c r="F30" s="29">
        <f t="shared" si="1"/>
        <v>105750</v>
      </c>
      <c r="G30" s="29">
        <f t="shared" si="2"/>
        <v>10902.061855670105</v>
      </c>
      <c r="H30" s="29">
        <f t="shared" si="3"/>
        <v>10.902061855670105</v>
      </c>
      <c r="I30" s="5" t="s">
        <v>16</v>
      </c>
      <c r="J30" s="7">
        <v>1</v>
      </c>
      <c r="K30" s="7">
        <v>16</v>
      </c>
      <c r="L30" s="7">
        <v>16</v>
      </c>
      <c r="M30" s="7">
        <v>16</v>
      </c>
      <c r="N30" s="7">
        <v>16</v>
      </c>
      <c r="O30" s="7">
        <v>16</v>
      </c>
      <c r="P30" s="6" t="s">
        <v>17</v>
      </c>
      <c r="Q30" s="5" t="s">
        <v>20</v>
      </c>
    </row>
    <row r="31" spans="1:17" hidden="1" x14ac:dyDescent="0.25">
      <c r="A31" s="44"/>
      <c r="B31" s="28"/>
      <c r="C31" s="29">
        <f>SUM(C2:C30)</f>
        <v>468350000</v>
      </c>
      <c r="D31" s="29">
        <f t="shared" ref="D31" si="4">C31*0.94</f>
        <v>440249000</v>
      </c>
      <c r="E31" s="29">
        <f>SUM(E2:E30)</f>
        <v>127895000</v>
      </c>
      <c r="F31" s="29">
        <f t="shared" ref="F31" si="5">E31*0.94</f>
        <v>120221300</v>
      </c>
      <c r="G31" s="29">
        <f t="shared" ref="G31" si="6">E31/9.7</f>
        <v>13185051.546391753</v>
      </c>
      <c r="H31" s="29">
        <f t="shared" ref="H31" si="7">G31/1000</f>
        <v>13185.051546391753</v>
      </c>
      <c r="I31" s="5">
        <f>E31/7000</f>
        <v>18270.714285714286</v>
      </c>
      <c r="J31" s="7">
        <f>SUM(J2:J29)</f>
        <v>519</v>
      </c>
      <c r="K31" s="7">
        <f>SUM(K2:K29)</f>
        <v>1094</v>
      </c>
      <c r="L31" s="7">
        <f>SUM(L2:L30)</f>
        <v>3000</v>
      </c>
      <c r="M31" s="7">
        <f>SUM(M2:M30)</f>
        <v>4500</v>
      </c>
      <c r="N31" s="7">
        <f>SUM(N2:N30)</f>
        <v>6750</v>
      </c>
      <c r="O31" s="7">
        <f>SUM(O2:O30)</f>
        <v>10124.711340206188</v>
      </c>
      <c r="P31" s="6"/>
    </row>
    <row r="32" spans="1:17" x14ac:dyDescent="0.25">
      <c r="A32" s="10" t="s">
        <v>48</v>
      </c>
      <c r="B32" s="10" t="s">
        <v>49</v>
      </c>
      <c r="C32" s="10">
        <f>SUM(C31)</f>
        <v>468350000</v>
      </c>
      <c r="D32" s="10">
        <f>SUM(D2:D31)</f>
        <v>880498000</v>
      </c>
      <c r="E32" s="10">
        <f>SUM(E31)</f>
        <v>127895000</v>
      </c>
      <c r="F32" s="10">
        <f>SUM(F2:F31)</f>
        <v>240442600</v>
      </c>
      <c r="G32" s="10">
        <f>SUM(G2:G31)</f>
        <v>25579000</v>
      </c>
      <c r="H32" s="10">
        <f>SUM(H2:H31)</f>
        <v>25579</v>
      </c>
      <c r="I32" s="10"/>
      <c r="J32" s="11">
        <f t="shared" ref="J32:O32" si="8">J31</f>
        <v>519</v>
      </c>
      <c r="K32" s="11">
        <f>SUM(K2:K30)</f>
        <v>1110</v>
      </c>
      <c r="L32" s="11">
        <f t="shared" si="8"/>
        <v>3000</v>
      </c>
      <c r="M32" s="11">
        <f t="shared" si="8"/>
        <v>4500</v>
      </c>
      <c r="N32" s="11">
        <f t="shared" si="8"/>
        <v>6750</v>
      </c>
      <c r="O32" s="11">
        <f t="shared" si="8"/>
        <v>10124.711340206188</v>
      </c>
      <c r="P32" s="10"/>
      <c r="Q32" s="9"/>
    </row>
    <row r="33" spans="1:17" x14ac:dyDescent="0.25">
      <c r="B33" s="20" t="s">
        <v>50</v>
      </c>
      <c r="C33" s="21"/>
      <c r="J33" s="6">
        <v>12</v>
      </c>
      <c r="K33" s="6">
        <v>9.6999999999999993</v>
      </c>
      <c r="L33" s="6">
        <f>K33*103%</f>
        <v>9.9909999999999997</v>
      </c>
      <c r="M33" s="6">
        <f t="shared" ref="M33:O34" si="9">L33*103%</f>
        <v>10.29073</v>
      </c>
      <c r="N33" s="6">
        <f t="shared" si="9"/>
        <v>10.5994519</v>
      </c>
      <c r="O33" s="6">
        <f t="shared" si="9"/>
        <v>10.917435457</v>
      </c>
      <c r="P33" s="6"/>
    </row>
    <row r="34" spans="1:17" x14ac:dyDescent="0.25">
      <c r="B34" s="20" t="s">
        <v>51</v>
      </c>
      <c r="C34" s="21"/>
      <c r="J34" s="6">
        <v>6.9</v>
      </c>
      <c r="K34" s="6">
        <v>6.07</v>
      </c>
      <c r="L34" s="6">
        <f>K34*103%</f>
        <v>6.2521000000000004</v>
      </c>
      <c r="M34" s="6">
        <f t="shared" si="9"/>
        <v>6.4396630000000004</v>
      </c>
      <c r="N34" s="6">
        <f t="shared" si="9"/>
        <v>6.6328528900000006</v>
      </c>
      <c r="O34" s="6">
        <f t="shared" si="9"/>
        <v>6.8318384767000007</v>
      </c>
      <c r="P34" s="6"/>
    </row>
    <row r="35" spans="1:17" x14ac:dyDescent="0.25">
      <c r="B35" s="20" t="s">
        <v>52</v>
      </c>
      <c r="C35" s="21"/>
      <c r="J35" s="6">
        <v>5.8</v>
      </c>
      <c r="K35" s="6">
        <v>4.67</v>
      </c>
      <c r="L35" s="6">
        <f>K35*110%</f>
        <v>5.1370000000000005</v>
      </c>
      <c r="M35" s="6">
        <f t="shared" ref="M35" si="10">L35*110%</f>
        <v>5.6507000000000014</v>
      </c>
      <c r="N35" s="6">
        <f>M35*108%</f>
        <v>6.1027560000000021</v>
      </c>
      <c r="O35" s="6">
        <f>N35*108%</f>
        <v>6.5909764800000028</v>
      </c>
      <c r="P35" s="6"/>
    </row>
    <row r="37" spans="1:17" hidden="1" x14ac:dyDescent="0.25">
      <c r="A37" s="20"/>
      <c r="B37" s="5" t="s">
        <v>53</v>
      </c>
      <c r="C37" s="6">
        <v>450000</v>
      </c>
      <c r="E37" s="6">
        <f>C37*0.9</f>
        <v>405000</v>
      </c>
      <c r="F37" s="6">
        <f t="shared" ref="F37:F43" si="11">E37*0.94</f>
        <v>380700</v>
      </c>
      <c r="G37" s="6">
        <f t="shared" ref="G37:G43" si="12">F37/9.7</f>
        <v>39247.422680412375</v>
      </c>
      <c r="H37" s="6">
        <f t="shared" ref="H37:H43" si="13">G37/1000</f>
        <v>39.247422680412377</v>
      </c>
      <c r="I37" s="5" t="s">
        <v>16</v>
      </c>
      <c r="J37" s="7"/>
      <c r="K37" s="7"/>
      <c r="L37" s="5">
        <v>39</v>
      </c>
      <c r="M37" s="5">
        <v>39</v>
      </c>
      <c r="N37" s="5">
        <v>39</v>
      </c>
      <c r="O37" s="7">
        <f t="shared" ref="O37:O43" si="14">H37</f>
        <v>39.247422680412377</v>
      </c>
      <c r="P37" s="6" t="s">
        <v>17</v>
      </c>
      <c r="Q37" s="5" t="s">
        <v>20</v>
      </c>
    </row>
    <row r="38" spans="1:17" hidden="1" x14ac:dyDescent="0.25">
      <c r="A38" s="20"/>
      <c r="B38" s="5" t="s">
        <v>54</v>
      </c>
      <c r="C38" s="6">
        <v>450000</v>
      </c>
      <c r="E38" s="6">
        <f>C38*0.5</f>
        <v>225000</v>
      </c>
      <c r="F38" s="6">
        <f t="shared" si="11"/>
        <v>211500</v>
      </c>
      <c r="G38" s="6">
        <f t="shared" si="12"/>
        <v>21804.123711340209</v>
      </c>
      <c r="H38" s="6">
        <f t="shared" si="13"/>
        <v>21.80412371134021</v>
      </c>
      <c r="I38" s="5" t="s">
        <v>16</v>
      </c>
      <c r="J38" s="7"/>
      <c r="K38" s="7"/>
      <c r="M38" s="7">
        <f t="shared" ref="M38:N40" si="15">L38+10</f>
        <v>10</v>
      </c>
      <c r="N38" s="7">
        <f t="shared" si="15"/>
        <v>20</v>
      </c>
      <c r="O38" s="7">
        <f t="shared" si="14"/>
        <v>21.80412371134021</v>
      </c>
      <c r="P38" s="6" t="s">
        <v>17</v>
      </c>
      <c r="Q38" s="5" t="s">
        <v>20</v>
      </c>
    </row>
    <row r="39" spans="1:17" hidden="1" x14ac:dyDescent="0.25">
      <c r="A39" s="20"/>
      <c r="B39" s="5" t="s">
        <v>55</v>
      </c>
      <c r="C39" s="6">
        <v>450000</v>
      </c>
      <c r="E39" s="6">
        <f>C39*0.5</f>
        <v>225000</v>
      </c>
      <c r="F39" s="6">
        <f t="shared" si="11"/>
        <v>211500</v>
      </c>
      <c r="G39" s="6">
        <f t="shared" si="12"/>
        <v>21804.123711340209</v>
      </c>
      <c r="H39" s="6">
        <f t="shared" si="13"/>
        <v>21.80412371134021</v>
      </c>
      <c r="I39" s="5" t="s">
        <v>16</v>
      </c>
      <c r="J39" s="7"/>
      <c r="K39" s="7"/>
      <c r="M39" s="7">
        <f t="shared" si="15"/>
        <v>10</v>
      </c>
      <c r="N39" s="7">
        <f t="shared" si="15"/>
        <v>20</v>
      </c>
      <c r="O39" s="7">
        <f t="shared" si="14"/>
        <v>21.80412371134021</v>
      </c>
      <c r="P39" s="6" t="s">
        <v>17</v>
      </c>
      <c r="Q39" s="5" t="s">
        <v>20</v>
      </c>
    </row>
    <row r="40" spans="1:17" hidden="1" x14ac:dyDescent="0.25">
      <c r="A40" s="20"/>
      <c r="B40" s="5" t="s">
        <v>56</v>
      </c>
      <c r="C40" s="6">
        <v>450000</v>
      </c>
      <c r="E40" s="6">
        <f>C40*0.5</f>
        <v>225000</v>
      </c>
      <c r="F40" s="6">
        <f t="shared" si="11"/>
        <v>211500</v>
      </c>
      <c r="G40" s="6">
        <f t="shared" si="12"/>
        <v>21804.123711340209</v>
      </c>
      <c r="H40" s="6">
        <f t="shared" si="13"/>
        <v>21.80412371134021</v>
      </c>
      <c r="I40" s="5" t="s">
        <v>16</v>
      </c>
      <c r="J40" s="7"/>
      <c r="K40" s="7"/>
      <c r="M40" s="7">
        <f t="shared" si="15"/>
        <v>10</v>
      </c>
      <c r="N40" s="7">
        <f t="shared" si="15"/>
        <v>20</v>
      </c>
      <c r="O40" s="7">
        <f t="shared" si="14"/>
        <v>21.80412371134021</v>
      </c>
      <c r="P40" s="6" t="s">
        <v>17</v>
      </c>
      <c r="Q40" s="5" t="s">
        <v>20</v>
      </c>
    </row>
    <row r="41" spans="1:17" hidden="1" x14ac:dyDescent="0.25">
      <c r="A41" s="20"/>
      <c r="B41" s="28" t="s">
        <v>57</v>
      </c>
      <c r="C41" s="29">
        <v>200000</v>
      </c>
      <c r="D41" s="8"/>
      <c r="E41" s="6">
        <f>C41*1</f>
        <v>200000</v>
      </c>
      <c r="F41" s="6">
        <f t="shared" si="11"/>
        <v>188000</v>
      </c>
      <c r="G41" s="6">
        <f t="shared" si="12"/>
        <v>19381.443298969072</v>
      </c>
      <c r="H41" s="6">
        <f t="shared" si="13"/>
        <v>19.381443298969071</v>
      </c>
      <c r="I41" s="5" t="s">
        <v>16</v>
      </c>
      <c r="J41" s="7"/>
      <c r="K41" s="7">
        <v>9</v>
      </c>
      <c r="L41" s="7">
        <f t="shared" ref="L41:N43" si="16">K41+3</f>
        <v>12</v>
      </c>
      <c r="M41" s="7">
        <f t="shared" si="16"/>
        <v>15</v>
      </c>
      <c r="N41" s="7">
        <f t="shared" si="16"/>
        <v>18</v>
      </c>
      <c r="O41" s="7">
        <f t="shared" si="14"/>
        <v>19.381443298969071</v>
      </c>
      <c r="P41" s="6" t="s">
        <v>17</v>
      </c>
      <c r="Q41" s="5" t="s">
        <v>20</v>
      </c>
    </row>
    <row r="42" spans="1:17" hidden="1" x14ac:dyDescent="0.25">
      <c r="A42" s="20"/>
      <c r="B42" s="28" t="s">
        <v>58</v>
      </c>
      <c r="C42" s="29">
        <v>200000</v>
      </c>
      <c r="D42" s="8"/>
      <c r="E42" s="6">
        <f>C42*1</f>
        <v>200000</v>
      </c>
      <c r="F42" s="6">
        <f t="shared" si="11"/>
        <v>188000</v>
      </c>
      <c r="G42" s="6">
        <f t="shared" si="12"/>
        <v>19381.443298969072</v>
      </c>
      <c r="H42" s="6">
        <f t="shared" si="13"/>
        <v>19.381443298969071</v>
      </c>
      <c r="I42" s="5" t="s">
        <v>16</v>
      </c>
      <c r="J42" s="7"/>
      <c r="K42" s="7">
        <v>10</v>
      </c>
      <c r="L42" s="7">
        <f t="shared" si="16"/>
        <v>13</v>
      </c>
      <c r="M42" s="7">
        <f t="shared" si="16"/>
        <v>16</v>
      </c>
      <c r="N42" s="7">
        <f t="shared" si="16"/>
        <v>19</v>
      </c>
      <c r="O42" s="7">
        <f t="shared" si="14"/>
        <v>19.381443298969071</v>
      </c>
      <c r="P42" s="6" t="s">
        <v>17</v>
      </c>
      <c r="Q42" s="5" t="s">
        <v>20</v>
      </c>
    </row>
    <row r="43" spans="1:17" hidden="1" x14ac:dyDescent="0.25">
      <c r="A43" s="20"/>
      <c r="B43" s="28" t="s">
        <v>59</v>
      </c>
      <c r="C43" s="29">
        <v>200000</v>
      </c>
      <c r="D43" s="8"/>
      <c r="E43" s="6">
        <f>C43*1</f>
        <v>200000</v>
      </c>
      <c r="F43" s="6">
        <f t="shared" si="11"/>
        <v>188000</v>
      </c>
      <c r="G43" s="6">
        <f t="shared" si="12"/>
        <v>19381.443298969072</v>
      </c>
      <c r="H43" s="6">
        <f t="shared" si="13"/>
        <v>19.381443298969071</v>
      </c>
      <c r="I43" s="5" t="s">
        <v>16</v>
      </c>
      <c r="J43" s="7"/>
      <c r="K43" s="7">
        <v>11</v>
      </c>
      <c r="L43" s="7">
        <f t="shared" si="16"/>
        <v>14</v>
      </c>
      <c r="M43" s="7">
        <f t="shared" si="16"/>
        <v>17</v>
      </c>
      <c r="N43" s="7">
        <f t="shared" si="16"/>
        <v>20</v>
      </c>
      <c r="O43" s="7">
        <f t="shared" si="14"/>
        <v>19.381443298969071</v>
      </c>
      <c r="P43" s="6" t="s">
        <v>17</v>
      </c>
      <c r="Q43" s="5" t="s">
        <v>20</v>
      </c>
    </row>
    <row r="44" spans="1:17" hidden="1" x14ac:dyDescent="0.25">
      <c r="A44" s="22"/>
    </row>
  </sheetData>
  <autoFilter ref="A1:Q1" xr:uid="{A741235E-52C1-4FAD-AB30-A4309FD3214C}"/>
  <sortState xmlns:xlrd2="http://schemas.microsoft.com/office/spreadsheetml/2017/richdata2" ref="B2:Q30">
    <sortCondition descending="1" ref="H2:H30"/>
  </sortState>
  <mergeCells count="1">
    <mergeCell ref="A2:A31"/>
  </mergeCells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B106-E118-4673-BE3B-25C7C74BE46E}">
  <dimension ref="A1:L24"/>
  <sheetViews>
    <sheetView zoomScale="70" zoomScaleNormal="70" workbookViewId="0">
      <pane ySplit="1" topLeftCell="A2" activePane="bottomLeft" state="frozen"/>
      <selection pane="bottomLeft" activeCell="E2" sqref="E2"/>
    </sheetView>
  </sheetViews>
  <sheetFormatPr defaultColWidth="11.42578125" defaultRowHeight="15" x14ac:dyDescent="0.25"/>
  <cols>
    <col min="1" max="1" width="11.42578125" style="5" customWidth="1"/>
    <col min="2" max="2" width="21.42578125" style="5" bestFit="1" customWidth="1"/>
    <col min="3" max="3" width="18.140625" style="5" customWidth="1"/>
    <col min="4" max="4" width="23.7109375" style="5" customWidth="1"/>
    <col min="5" max="5" width="29.7109375" style="5" customWidth="1"/>
    <col min="6" max="6" width="18.42578125" style="5" customWidth="1"/>
    <col min="7" max="7" width="17.5703125" style="5" bestFit="1" customWidth="1"/>
    <col min="8" max="11" width="18.140625" style="5" bestFit="1" customWidth="1"/>
    <col min="12" max="12" width="17.85546875" style="5" bestFit="1" customWidth="1"/>
    <col min="13" max="16384" width="11.42578125" style="5"/>
  </cols>
  <sheetData>
    <row r="1" spans="1:12" x14ac:dyDescent="0.25">
      <c r="A1" s="2" t="s">
        <v>60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4" t="s">
        <v>65</v>
      </c>
      <c r="H1" s="4" t="s">
        <v>124</v>
      </c>
      <c r="I1" s="4" t="s">
        <v>125</v>
      </c>
      <c r="J1" s="4" t="s">
        <v>126</v>
      </c>
      <c r="K1" s="4" t="s">
        <v>127</v>
      </c>
      <c r="L1" s="4" t="s">
        <v>128</v>
      </c>
    </row>
    <row r="2" spans="1:12" ht="105" x14ac:dyDescent="0.25">
      <c r="A2" s="23" t="s">
        <v>153</v>
      </c>
      <c r="B2" s="23" t="s">
        <v>129</v>
      </c>
      <c r="C2" s="23" t="s">
        <v>130</v>
      </c>
      <c r="D2" s="13" t="s">
        <v>149</v>
      </c>
      <c r="E2" s="25" t="s">
        <v>164</v>
      </c>
      <c r="F2" s="13" t="s">
        <v>131</v>
      </c>
      <c r="G2" s="7">
        <v>17131</v>
      </c>
      <c r="H2" s="7">
        <v>22196</v>
      </c>
      <c r="I2" s="7">
        <v>23315</v>
      </c>
      <c r="J2" s="7">
        <v>29435</v>
      </c>
      <c r="K2" s="7">
        <v>36719</v>
      </c>
      <c r="L2" s="13" t="s">
        <v>158</v>
      </c>
    </row>
    <row r="3" spans="1:12" ht="90" x14ac:dyDescent="0.25">
      <c r="A3" s="23" t="s">
        <v>153</v>
      </c>
      <c r="B3" s="23" t="s">
        <v>135</v>
      </c>
      <c r="C3" s="23" t="s">
        <v>177</v>
      </c>
      <c r="D3" s="13" t="s">
        <v>150</v>
      </c>
      <c r="E3" s="25" t="s">
        <v>136</v>
      </c>
      <c r="F3" s="13" t="s">
        <v>178</v>
      </c>
      <c r="G3" s="40">
        <v>0</v>
      </c>
      <c r="H3" s="40">
        <v>0</v>
      </c>
      <c r="I3" s="7">
        <v>8000</v>
      </c>
      <c r="J3" s="7">
        <v>15000</v>
      </c>
      <c r="K3" s="7">
        <v>24000</v>
      </c>
      <c r="L3" s="13" t="s">
        <v>159</v>
      </c>
    </row>
    <row r="4" spans="1:12" ht="150" x14ac:dyDescent="0.25">
      <c r="A4" s="23" t="s">
        <v>153</v>
      </c>
      <c r="B4" s="23" t="s">
        <v>137</v>
      </c>
      <c r="C4" s="24" t="s">
        <v>138</v>
      </c>
      <c r="D4" s="26" t="s">
        <v>151</v>
      </c>
      <c r="E4" s="25" t="s">
        <v>139</v>
      </c>
      <c r="F4" s="27" t="s">
        <v>140</v>
      </c>
      <c r="G4" s="7">
        <v>734</v>
      </c>
      <c r="H4" s="7">
        <v>891</v>
      </c>
      <c r="I4" s="7">
        <v>1835</v>
      </c>
      <c r="J4" s="7">
        <v>2322</v>
      </c>
      <c r="K4" s="7">
        <v>4093</v>
      </c>
      <c r="L4" s="13" t="s">
        <v>161</v>
      </c>
    </row>
    <row r="5" spans="1:12" ht="75" customHeight="1" x14ac:dyDescent="0.25">
      <c r="A5" s="43" t="s">
        <v>166</v>
      </c>
      <c r="B5" s="44" t="s">
        <v>145</v>
      </c>
      <c r="C5" s="39" t="s">
        <v>173</v>
      </c>
      <c r="D5" s="24" t="s">
        <v>176</v>
      </c>
      <c r="E5" s="46" t="s">
        <v>14</v>
      </c>
      <c r="F5" s="45" t="s">
        <v>146</v>
      </c>
      <c r="G5" s="5">
        <v>1544</v>
      </c>
      <c r="H5" s="7">
        <v>3329</v>
      </c>
      <c r="I5" s="7">
        <v>5850</v>
      </c>
      <c r="J5" s="7">
        <v>9675</v>
      </c>
      <c r="K5" s="7">
        <v>19912</v>
      </c>
      <c r="L5" s="13" t="s">
        <v>160</v>
      </c>
    </row>
    <row r="6" spans="1:12" x14ac:dyDescent="0.25">
      <c r="A6" s="43"/>
      <c r="B6" s="44"/>
      <c r="C6" s="39" t="s">
        <v>174</v>
      </c>
      <c r="D6" s="41" t="s">
        <v>175</v>
      </c>
      <c r="E6" s="46"/>
      <c r="F6" s="45"/>
      <c r="G6" s="5">
        <v>172</v>
      </c>
      <c r="H6" s="7">
        <v>370</v>
      </c>
      <c r="I6" s="7">
        <v>650</v>
      </c>
      <c r="J6" s="7">
        <v>1075</v>
      </c>
      <c r="K6" s="7">
        <v>2213</v>
      </c>
      <c r="L6" s="13"/>
    </row>
    <row r="7" spans="1:12" ht="60" x14ac:dyDescent="0.25">
      <c r="A7" s="23" t="s">
        <v>153</v>
      </c>
      <c r="B7" s="23" t="s">
        <v>141</v>
      </c>
      <c r="C7" s="23" t="s">
        <v>142</v>
      </c>
      <c r="D7" s="13" t="s">
        <v>152</v>
      </c>
      <c r="E7" s="25" t="s">
        <v>143</v>
      </c>
      <c r="F7" s="13" t="s">
        <v>144</v>
      </c>
      <c r="G7" s="7">
        <v>0</v>
      </c>
      <c r="H7" s="7">
        <v>0</v>
      </c>
      <c r="I7" s="7">
        <v>17</v>
      </c>
      <c r="J7" s="7">
        <v>20</v>
      </c>
      <c r="K7" s="7">
        <v>24</v>
      </c>
      <c r="L7" s="13" t="s">
        <v>162</v>
      </c>
    </row>
    <row r="8" spans="1:12" ht="60" x14ac:dyDescent="0.25">
      <c r="A8" s="23" t="s">
        <v>153</v>
      </c>
      <c r="B8" s="23" t="s">
        <v>132</v>
      </c>
      <c r="C8" s="23" t="s">
        <v>172</v>
      </c>
      <c r="D8" s="13" t="s">
        <v>148</v>
      </c>
      <c r="E8" s="25" t="s">
        <v>133</v>
      </c>
      <c r="F8" s="13" t="s">
        <v>134</v>
      </c>
      <c r="G8" s="7">
        <v>0</v>
      </c>
      <c r="H8" s="7">
        <v>12.5</v>
      </c>
      <c r="I8" s="7">
        <v>150</v>
      </c>
      <c r="J8" s="7">
        <v>300</v>
      </c>
      <c r="K8" s="7">
        <v>500</v>
      </c>
      <c r="L8" s="13" t="s">
        <v>163</v>
      </c>
    </row>
    <row r="9" spans="1:12" x14ac:dyDescent="0.25">
      <c r="A9" s="9" t="s">
        <v>48</v>
      </c>
      <c r="B9" s="9" t="s">
        <v>49</v>
      </c>
      <c r="C9" s="9"/>
      <c r="D9" s="9"/>
      <c r="E9" s="9"/>
      <c r="F9" s="9"/>
      <c r="G9" s="11">
        <v>19581</v>
      </c>
      <c r="H9" s="11">
        <v>26799</v>
      </c>
      <c r="I9" s="11">
        <v>39817</v>
      </c>
      <c r="J9" s="11">
        <v>57827</v>
      </c>
      <c r="K9" s="11">
        <v>87461</v>
      </c>
      <c r="L9" s="11"/>
    </row>
    <row r="10" spans="1:12" x14ac:dyDescent="0.25">
      <c r="B10" s="23"/>
      <c r="C10" s="23"/>
      <c r="D10" s="18"/>
      <c r="G10" s="6"/>
      <c r="H10" s="6"/>
      <c r="I10" s="6"/>
      <c r="J10" s="6"/>
      <c r="K10" s="6"/>
    </row>
    <row r="11" spans="1:12" x14ac:dyDescent="0.25">
      <c r="B11" s="23"/>
      <c r="C11" s="23"/>
      <c r="D11" s="18"/>
      <c r="G11" s="6"/>
      <c r="H11" s="6"/>
      <c r="I11" s="6"/>
      <c r="J11" s="6"/>
      <c r="K11" s="6"/>
    </row>
    <row r="12" spans="1:12" x14ac:dyDescent="0.25">
      <c r="B12" s="23"/>
      <c r="C12" s="23"/>
      <c r="D12" s="18"/>
      <c r="G12" s="6"/>
      <c r="H12" s="6"/>
      <c r="I12" s="6"/>
      <c r="J12" s="6"/>
      <c r="K12" s="6"/>
    </row>
    <row r="15" spans="1:12" x14ac:dyDescent="0.25">
      <c r="D15" s="42"/>
    </row>
    <row r="16" spans="1:12" x14ac:dyDescent="0.25">
      <c r="D16" s="42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</sheetData>
  <autoFilter ref="A1:L9" xr:uid="{4725B106-E118-4673-BE3B-25C7C74BE46E}"/>
  <mergeCells count="4">
    <mergeCell ref="A5:A6"/>
    <mergeCell ref="F5:F6"/>
    <mergeCell ref="B5:B6"/>
    <mergeCell ref="E5:E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Syrups</vt:lpstr>
      <vt:lpstr>Compounds</vt:lpstr>
      <vt:lpstr>Packaging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Girgis, Germin</dc:creator>
  <cp:lastModifiedBy>Kosilova, Olga</cp:lastModifiedBy>
  <dcterms:created xsi:type="dcterms:W3CDTF">2024-04-16T17:25:41Z</dcterms:created>
  <dcterms:modified xsi:type="dcterms:W3CDTF">2024-06-17T06:56:25Z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bfda0-71d3-447e-a4d8-bdd8ff136ad9_Enabled">
    <vt:lpwstr>true</vt:lpwstr>
  </property>
  <property fmtid="{D5CDD505-2E9C-101B-9397-08002B2CF9AE}" pid="3" name="MSIP_Label_d75bfda0-71d3-447e-a4d8-bdd8ff136ad9_SetDate">
    <vt:lpwstr>2024-04-16T17:42:01Z</vt:lpwstr>
  </property>
  <property fmtid="{D5CDD505-2E9C-101B-9397-08002B2CF9AE}" pid="4" name="MSIP_Label_d75bfda0-71d3-447e-a4d8-bdd8ff136ad9_Method">
    <vt:lpwstr>Standard</vt:lpwstr>
  </property>
  <property fmtid="{D5CDD505-2E9C-101B-9397-08002B2CF9AE}" pid="5" name="MSIP_Label_d75bfda0-71d3-447e-a4d8-bdd8ff136ad9_Name">
    <vt:lpwstr>Internal</vt:lpwstr>
  </property>
  <property fmtid="{D5CDD505-2E9C-101B-9397-08002B2CF9AE}" pid="6" name="MSIP_Label_d75bfda0-71d3-447e-a4d8-bdd8ff136ad9_SiteId">
    <vt:lpwstr>38e5bc50-ed60-4cb7-83d9-07d94e42f5f8</vt:lpwstr>
  </property>
  <property fmtid="{D5CDD505-2E9C-101B-9397-08002B2CF9AE}" pid="7" name="MSIP_Label_d75bfda0-71d3-447e-a4d8-bdd8ff136ad9_ActionId">
    <vt:lpwstr>fde486f8-4221-400a-b45a-cc6f90de0bab</vt:lpwstr>
  </property>
  <property fmtid="{D5CDD505-2E9C-101B-9397-08002B2CF9AE}" pid="8" name="MSIP_Label_d75bfda0-71d3-447e-a4d8-bdd8ff136ad9_ContentBits">
    <vt:lpwstr>0</vt:lpwstr>
  </property>
</Properties>
</file>